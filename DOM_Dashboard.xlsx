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jetfi\OneDrive\Desktop\Data Analysis Projects\Dubai_Online_Mart_Analytics\"/>
    </mc:Choice>
  </mc:AlternateContent>
  <xr:revisionPtr revIDLastSave="0" documentId="13_ncr:1_{44AD0044-4B5B-42C8-B7A1-CD7A7932E892}" xr6:coauthVersionLast="47" xr6:coauthVersionMax="47" xr10:uidLastSave="{00000000-0000-0000-0000-000000000000}"/>
  <bookViews>
    <workbookView xWindow="-108" yWindow="-108" windowWidth="23256" windowHeight="12456" tabRatio="766" xr2:uid="{A8AB4E9E-6F52-4BCE-900F-7011D4311A9F}"/>
  </bookViews>
  <sheets>
    <sheet name="dashboard" sheetId="9" r:id="rId1"/>
    <sheet name="analysis" sheetId="8" r:id="rId2"/>
    <sheet name="qry_enriched_data " sheetId="7" r:id="rId3"/>
  </sheets>
  <definedNames>
    <definedName name="ExternalData_5" localSheetId="2" hidden="1">'qry_enriched_data '!$A$1:$Y$491</definedName>
    <definedName name="NativeTimeline_order_date">#N/A</definedName>
    <definedName name="Slicer_channel">#N/A</definedName>
    <definedName name="Slicer_segment">#N/A</definedName>
  </definedNames>
  <calcPr calcId="191029"/>
  <pivotCaches>
    <pivotCache cacheId="6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8" l="1"/>
  <c r="H2" i="8"/>
  <c r="K2" i="8"/>
  <c r="J2" i="8"/>
  <c r="I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2C10EB-57E3-42A1-A740-14DEC067EFDE}"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D2BC6DB1-AC54-483B-A0FE-8647065E6D3E}"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3" xr16:uid="{03B73EAE-DDF1-4C87-B0F4-52748538EED5}"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4" xr16:uid="{B9D1EC79-8A17-423C-A02F-3C68B73FC33A}" keepAlive="1" name="Query - qry_amazon_sales" description="Connection to the 'qry_amazon_sales' query in the workbook." type="5" refreshedVersion="0" background="1">
    <dbPr connection="Provider=Microsoft.Mashup.OleDb.1;Data Source=$Workbook$;Location=qry_amazon_sales;Extended Properties=&quot;&quot;" command="SELECT * FROM [qry_amazon_sales]"/>
  </connection>
  <connection id="5" xr16:uid="{B6B99D36-93D0-4595-8CE7-3B57F9C8E3D9}" keepAlive="1" name="Query - qry_cust_data" description="Connection to the 'qry_cust_data' query in the workbook." type="5" refreshedVersion="8" background="1" saveData="1">
    <dbPr connection="Provider=Microsoft.Mashup.OleDb.1;Data Source=$Workbook$;Location=qry_cust_data;Extended Properties=&quot;&quot;" command="SELECT * FROM [qry_cust_data]"/>
  </connection>
  <connection id="6" xr16:uid="{B50F12D4-A084-446E-A2CC-E5EEB4A06147}" keepAlive="1" name="Query - qry_enriched_data" description="Connection to the 'qry_enriched_data' query in the workbook." type="5" refreshedVersion="0" background="1" saveData="1">
    <dbPr connection="Provider=Microsoft.Mashup.OleDb.1;Data Source=$Workbook$;Location=qry_enriched_data;Extended Properties=&quot;&quot;" command="SELECT * FROM [qry_enriched_data]"/>
  </connection>
  <connection id="7" xr16:uid="{BB1F7770-3DB7-46C7-A3A3-8333C45ABAE7}" keepAlive="1" name="Query - qry_enriched_data1" description="Connection to the 'qry_enriched_data' query in the workbook." type="5" refreshedVersion="8" background="1" saveData="1">
    <dbPr connection="Provider=Microsoft.Mashup.OleDb.1;Data Source=$Workbook$;Location=qry_enriched_data;Extended Properties=&quot;&quot;" command="SELECT * FROM [qry_enriched_data]"/>
  </connection>
  <connection id="8" xr16:uid="{1C45D434-E8EA-4411-81EB-E5565B2ACB76}" keepAlive="1" name="Query - qry_master_sales" description="Connection to the 'qry_master_sales' query in the workbook." type="5" refreshedVersion="0" background="1" saveData="1">
    <dbPr connection="Provider=Microsoft.Mashup.OleDb.1;Data Source=$Workbook$;Location=qry_master_sales;Extended Properties=&quot;&quot;" command="SELECT * FROM [qry_master_sales]"/>
  </connection>
  <connection id="9" xr16:uid="{35F81106-9E23-4F07-9886-4F9F3D0745D4}" keepAlive="1" name="Query - qry_master_sales1" description="Connection to the 'qry_master_sales' query in the workbook." type="5" refreshedVersion="8" background="1" saveData="1">
    <dbPr connection="Provider=Microsoft.Mashup.OleDb.1;Data Source=$Workbook$;Location=qry_master_sales;Extended Properties=&quot;&quot;" command="SELECT * FROM [qry_master_sales]"/>
  </connection>
  <connection id="10" xr16:uid="{F27536FD-E577-421C-8C71-1699A34D6D75}" keepAlive="1" name="Query - qry_noon_sales" description="Connection to the 'qry_noon_sales' query in the workbook." type="5" refreshedVersion="0" background="1">
    <dbPr connection="Provider=Microsoft.Mashup.OleDb.1;Data Source=$Workbook$;Location=qry_noon_sales;Extended Properties=&quot;&quot;" command="SELECT * FROM [qry_noon_sales]"/>
  </connection>
  <connection id="11" xr16:uid="{1E982510-7DC5-45E9-9176-AF68C7C244CC}" keepAlive="1" name="Query - qry_product_data" description="Connection to the 'qry_product_data' query in the workbook." type="5" refreshedVersion="8" background="1" saveData="1">
    <dbPr connection="Provider=Microsoft.Mashup.OleDb.1;Data Source=$Workbook$;Location=qry_product_data;Extended Properties=&quot;&quot;" command="SELECT * FROM [qry_product_data]"/>
  </connection>
  <connection id="12" xr16:uid="{5F133974-487A-4291-B3D2-D34133C38D75}" keepAlive="1" name="Query - qry_repeat_cust" description="Connection to the 'qry_repeat_cust' query in the workbook." type="5" refreshedVersion="0" background="1">
    <dbPr connection="Provider=Microsoft.Mashup.OleDb.1;Data Source=$Workbook$;Location=qry_repeat_cust;Extended Properties=&quot;&quot;" command="SELECT * FROM [qry_repeat_cust]"/>
  </connection>
  <connection id="13" xr16:uid="{274294A7-832C-456C-B0A4-A4149F59C997}" keepAlive="1" name="Query - qry_website_sales" description="Connection to the 'qry_website_sales' query in the workbook." type="5" refreshedVersion="0" background="1">
    <dbPr connection="Provider=Microsoft.Mashup.OleDb.1;Data Source=$Workbook$;Location=qry_website_sales;Extended Properties=&quot;&quot;" command="SELECT * FROM [qry_website_sales]"/>
  </connection>
  <connection id="14" xr16:uid="{CC37F159-E999-413B-BB26-26C116DD7FD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5" xr16:uid="{EAA274E2-AFBA-4BCF-9B0F-804DBCDEFB0E}"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6" xr16:uid="{714AC309-0AAA-4A00-AD75-DD673DAF71ED}"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7" xr16:uid="{8D7768C7-44DA-44FA-BD4A-ABF19C39B34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8" xr16:uid="{001D1A77-FBA8-475C-BD12-BD00C0A4A091}"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9" xr16:uid="{C00274F3-1D0E-4755-8EEE-F83D852C2AAA}"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20" xr16:uid="{5CD33E9A-A070-4B2A-9C52-4EE042992FD4}"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21" xr16:uid="{91007A08-8FF9-4991-A6B5-B8E4A5CA3AFD}"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22" xr16:uid="{35B943E9-B64D-4A78-AC2D-E2E3665F8FFE}"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s>
</file>

<file path=xl/sharedStrings.xml><?xml version="1.0" encoding="utf-8"?>
<sst xmlns="http://schemas.openxmlformats.org/spreadsheetml/2006/main" count="6490" uniqueCount="675">
  <si>
    <t>customer_id</t>
  </si>
  <si>
    <t>customer_email</t>
  </si>
  <si>
    <t>city</t>
  </si>
  <si>
    <t>segment</t>
  </si>
  <si>
    <t>registration_date</t>
  </si>
  <si>
    <t>CUS-1021</t>
  </si>
  <si>
    <t>ahmed.almarzouqi@gmail.com</t>
  </si>
  <si>
    <t>Dubai</t>
  </si>
  <si>
    <t>VIP</t>
  </si>
  <si>
    <t>Website</t>
  </si>
  <si>
    <t>CUS-1047</t>
  </si>
  <si>
    <t>fatima.hassan@hotmail.com</t>
  </si>
  <si>
    <t>Sharjah</t>
  </si>
  <si>
    <t>Returning</t>
  </si>
  <si>
    <t>Noon</t>
  </si>
  <si>
    <t>CUS-1055</t>
  </si>
  <si>
    <t>omar.farooq@gmail.com</t>
  </si>
  <si>
    <t>Amazon</t>
  </si>
  <si>
    <t>CUS-1078</t>
  </si>
  <si>
    <t>layla.nasser@gmail.com</t>
  </si>
  <si>
    <t>Abu Dhabi</t>
  </si>
  <si>
    <t>CUS-1083</t>
  </si>
  <si>
    <t>khalid.alblooshi@gmail.com</t>
  </si>
  <si>
    <t>CUS-1102</t>
  </si>
  <si>
    <t>sara.yousuf@gmail.com</t>
  </si>
  <si>
    <t>CUS-1134</t>
  </si>
  <si>
    <t>hamdan.sultan@gmail.com</t>
  </si>
  <si>
    <t>Ajman</t>
  </si>
  <si>
    <t>CUS-1155</t>
  </si>
  <si>
    <t>sultan.alremeithi@gmail.com</t>
  </si>
  <si>
    <t>New</t>
  </si>
  <si>
    <t>CUS-1190</t>
  </si>
  <si>
    <t>majid.almansoori@gmail.com</t>
  </si>
  <si>
    <t>CUS-1200</t>
  </si>
  <si>
    <t>rashed.alketbi@gmail.com</t>
  </si>
  <si>
    <t>CUS-1240</t>
  </si>
  <si>
    <t>meera.chandran@gmail.com</t>
  </si>
  <si>
    <t>sku</t>
  </si>
  <si>
    <t>product_name</t>
  </si>
  <si>
    <t>category</t>
  </si>
  <si>
    <t>subcategory</t>
  </si>
  <si>
    <t>cost_price</t>
  </si>
  <si>
    <t>SKU2201</t>
  </si>
  <si>
    <t>Anker PowerCore 20000 Power Bank</t>
  </si>
  <si>
    <t>Electronics</t>
  </si>
  <si>
    <t>Accessories</t>
  </si>
  <si>
    <t>SKU1101</t>
  </si>
  <si>
    <t>Philips Air Fryer 4.1L</t>
  </si>
  <si>
    <t>Home Appliances</t>
  </si>
  <si>
    <t>Kitchen</t>
  </si>
  <si>
    <t>SKU3302</t>
  </si>
  <si>
    <t>3M Command Adhesive Strips (Pack of 12)</t>
  </si>
  <si>
    <t>Home</t>
  </si>
  <si>
    <t>Organisation</t>
  </si>
  <si>
    <t>SKU4401</t>
  </si>
  <si>
    <t>Samsung 65" Crystal UHD TV</t>
  </si>
  <si>
    <t>TVs</t>
  </si>
  <si>
    <t>SKU2205</t>
  </si>
  <si>
    <t>JBL Flip 6 Portable Speaker</t>
  </si>
  <si>
    <t>Audio</t>
  </si>
  <si>
    <t>SKU1105</t>
  </si>
  <si>
    <t>Dyson V8 Cordless Vacuum</t>
  </si>
  <si>
    <t>Cleaning</t>
  </si>
  <si>
    <t>SKU3305</t>
  </si>
  <si>
    <t>Scotch Brite Heavy Duty Scrub (6-pack)</t>
  </si>
  <si>
    <t>SKU4403</t>
  </si>
  <si>
    <t>Apple iPad 10th Gen 64GB</t>
  </si>
  <si>
    <t>Tablets</t>
  </si>
  <si>
    <t>SKU2209</t>
  </si>
  <si>
    <t>Xiaomi Mi Band 8</t>
  </si>
  <si>
    <t>Wearables</t>
  </si>
  <si>
    <t>SKU1103</t>
  </si>
  <si>
    <t>Tefal Easy Fry Deluxe</t>
  </si>
  <si>
    <t>SKU3301</t>
  </si>
  <si>
    <t>Glad Garbage Bags Large (30-pack)</t>
  </si>
  <si>
    <t>SKU4402</t>
  </si>
  <si>
    <t>Sony WH-1000XM5 Headphones</t>
  </si>
  <si>
    <t>SKU1106</t>
  </si>
  <si>
    <t>iRobot Roomba i3 Robot Vacuum</t>
  </si>
  <si>
    <t>SKU2210</t>
  </si>
  <si>
    <t>Fitbit Inspire 3</t>
  </si>
  <si>
    <t>SKU3308</t>
  </si>
  <si>
    <t>Yankee Candle Large Jar (Vanilla)</t>
  </si>
  <si>
    <t>Fragrance</t>
  </si>
  <si>
    <t>SKU4404</t>
  </si>
  <si>
    <t>LG 55" OLED C3 TV</t>
  </si>
  <si>
    <t>order_id</t>
  </si>
  <si>
    <t>order_date</t>
  </si>
  <si>
    <t>quantity</t>
  </si>
  <si>
    <t>unit_price</t>
  </si>
  <si>
    <t>discount_amount</t>
  </si>
  <si>
    <t>status</t>
  </si>
  <si>
    <t>net_revenue</t>
  </si>
  <si>
    <t>profit</t>
  </si>
  <si>
    <t>margin</t>
  </si>
  <si>
    <t>order_month</t>
  </si>
  <si>
    <t>W-10041</t>
  </si>
  <si>
    <t>Completed</t>
  </si>
  <si>
    <t>January</t>
  </si>
  <si>
    <t>W-10044</t>
  </si>
  <si>
    <t>W-10055</t>
  </si>
  <si>
    <t>Guest</t>
  </si>
  <si>
    <t>mariam.saleh@gmail.com</t>
  </si>
  <si>
    <t>W-10045</t>
  </si>
  <si>
    <t>W-10054</t>
  </si>
  <si>
    <t>W-10051</t>
  </si>
  <si>
    <t>W-10043</t>
  </si>
  <si>
    <t>noura.khalid@yahoo.com</t>
  </si>
  <si>
    <t>W-10042</t>
  </si>
  <si>
    <t>W-10049</t>
  </si>
  <si>
    <t>W-10052</t>
  </si>
  <si>
    <t>W-10047</t>
  </si>
  <si>
    <t>W-10058</t>
  </si>
  <si>
    <t>CUS-9999</t>
  </si>
  <si>
    <t>deleted.user@gmail.com</t>
  </si>
  <si>
    <t>W-10048</t>
  </si>
  <si>
    <t>zainab.ali@outlook.com</t>
  </si>
  <si>
    <t>W-10050</t>
  </si>
  <si>
    <t>W-10056</t>
  </si>
  <si>
    <t>W-10057</t>
  </si>
  <si>
    <t>W-10059</t>
  </si>
  <si>
    <t>W-10060</t>
  </si>
  <si>
    <t>W-10061</t>
  </si>
  <si>
    <t>W-10062</t>
  </si>
  <si>
    <t>ali.mohammed@gmail.com</t>
  </si>
  <si>
    <t>W-10063</t>
  </si>
  <si>
    <t>W-10064</t>
  </si>
  <si>
    <t>W-10065</t>
  </si>
  <si>
    <t>W-10066</t>
  </si>
  <si>
    <t>W-10067</t>
  </si>
  <si>
    <t>nadia.ibrahim@hotmail.com</t>
  </si>
  <si>
    <t>W-10069</t>
  </si>
  <si>
    <t>W-10070</t>
  </si>
  <si>
    <t>W-10071</t>
  </si>
  <si>
    <t>W-10072</t>
  </si>
  <si>
    <t>yousef.almazrouei@gmail.com</t>
  </si>
  <si>
    <t>W-10073</t>
  </si>
  <si>
    <t>W-10074</t>
  </si>
  <si>
    <t>W-10075</t>
  </si>
  <si>
    <t>W-10077</t>
  </si>
  <si>
    <t>hessa.alfalasi@gmail.com</t>
  </si>
  <si>
    <t>W-10078</t>
  </si>
  <si>
    <t>W-10079</t>
  </si>
  <si>
    <t>W-10080</t>
  </si>
  <si>
    <t>W-10081</t>
  </si>
  <si>
    <t>W-10082</t>
  </si>
  <si>
    <t>tariq.hussain@gmail.com</t>
  </si>
  <si>
    <t>W-10083</t>
  </si>
  <si>
    <t>W-10084</t>
  </si>
  <si>
    <t>W-10085</t>
  </si>
  <si>
    <t>W-10086</t>
  </si>
  <si>
    <t>moza.alsuwaidi@gmail.com</t>
  </si>
  <si>
    <t>W-10087</t>
  </si>
  <si>
    <t>W-10088</t>
  </si>
  <si>
    <t>W-10089</t>
  </si>
  <si>
    <t>W-10090</t>
  </si>
  <si>
    <t>W-10091</t>
  </si>
  <si>
    <t>amna.rashid@yahoo.com</t>
  </si>
  <si>
    <t>W-10092</t>
  </si>
  <si>
    <t>W-10093</t>
  </si>
  <si>
    <t>W-10094</t>
  </si>
  <si>
    <t>W-10095</t>
  </si>
  <si>
    <t>W-10096</t>
  </si>
  <si>
    <t>bilal.qureshi@gmail.com</t>
  </si>
  <si>
    <t>N-88821</t>
  </si>
  <si>
    <t>N-88834</t>
  </si>
  <si>
    <t>N-88830</t>
  </si>
  <si>
    <t>N-88822</t>
  </si>
  <si>
    <t>N-88837</t>
  </si>
  <si>
    <t>N-88823</t>
  </si>
  <si>
    <t>guest@noon.com</t>
  </si>
  <si>
    <t>N-88839</t>
  </si>
  <si>
    <t>N-88824</t>
  </si>
  <si>
    <t>N-88827</t>
  </si>
  <si>
    <t>N-88825</t>
  </si>
  <si>
    <t>N-88831</t>
  </si>
  <si>
    <t>N-88826</t>
  </si>
  <si>
    <t>N-88828</t>
  </si>
  <si>
    <t>N-88832</t>
  </si>
  <si>
    <t>N-88833</t>
  </si>
  <si>
    <t>N-88835</t>
  </si>
  <si>
    <t>N-88838</t>
  </si>
  <si>
    <t>N-88840</t>
  </si>
  <si>
    <t>N-88841</t>
  </si>
  <si>
    <t>N-88842</t>
  </si>
  <si>
    <t>N-88843</t>
  </si>
  <si>
    <t>N-88844</t>
  </si>
  <si>
    <t>N-88845</t>
  </si>
  <si>
    <t>N-88846</t>
  </si>
  <si>
    <t>N-88847</t>
  </si>
  <si>
    <t>N-88848</t>
  </si>
  <si>
    <t>N-88849</t>
  </si>
  <si>
    <t>N-88850</t>
  </si>
  <si>
    <t>N-88851</t>
  </si>
  <si>
    <t>N-88852</t>
  </si>
  <si>
    <t>N-88853</t>
  </si>
  <si>
    <t>N-88854</t>
  </si>
  <si>
    <t>N-88855</t>
  </si>
  <si>
    <t>N-88857</t>
  </si>
  <si>
    <t>N-88858</t>
  </si>
  <si>
    <t>N-88859</t>
  </si>
  <si>
    <t>N-88860</t>
  </si>
  <si>
    <t>N-88861</t>
  </si>
  <si>
    <t>N-88862</t>
  </si>
  <si>
    <t>N-88863</t>
  </si>
  <si>
    <t>N-88864</t>
  </si>
  <si>
    <t>N-88865</t>
  </si>
  <si>
    <t>N-88866</t>
  </si>
  <si>
    <t>N-88867</t>
  </si>
  <si>
    <t>N-88868</t>
  </si>
  <si>
    <t>N-88869</t>
  </si>
  <si>
    <t>N-88870</t>
  </si>
  <si>
    <t>N-88871</t>
  </si>
  <si>
    <t>A-556601</t>
  </si>
  <si>
    <t>A-556614</t>
  </si>
  <si>
    <t>A-556610</t>
  </si>
  <si>
    <t>A-556606</t>
  </si>
  <si>
    <t>A-556617</t>
  </si>
  <si>
    <t>A-556602</t>
  </si>
  <si>
    <t>A-556603</t>
  </si>
  <si>
    <t>guest@amazon.com</t>
  </si>
  <si>
    <t>A-556612</t>
  </si>
  <si>
    <t>A-556604</t>
  </si>
  <si>
    <t>A-556605</t>
  </si>
  <si>
    <t>A-556607</t>
  </si>
  <si>
    <t>A-556611</t>
  </si>
  <si>
    <t>A-556608</t>
  </si>
  <si>
    <t>A-556609</t>
  </si>
  <si>
    <t>A-556613</t>
  </si>
  <si>
    <t>A-556618</t>
  </si>
  <si>
    <t>A-556615</t>
  </si>
  <si>
    <t>A-556619</t>
  </si>
  <si>
    <t>A-556620</t>
  </si>
  <si>
    <t>A-556621</t>
  </si>
  <si>
    <t>A-556623</t>
  </si>
  <si>
    <t>A-556624</t>
  </si>
  <si>
    <t>A-556625</t>
  </si>
  <si>
    <t>A-556626</t>
  </si>
  <si>
    <t>A-556627</t>
  </si>
  <si>
    <t>A-556628</t>
  </si>
  <si>
    <t>A-556629</t>
  </si>
  <si>
    <t>A-556630</t>
  </si>
  <si>
    <t>A-556631</t>
  </si>
  <si>
    <t>A-556632</t>
  </si>
  <si>
    <t>A-556633</t>
  </si>
  <si>
    <t>A-556634</t>
  </si>
  <si>
    <t>A-556635</t>
  </si>
  <si>
    <t>A-556636</t>
  </si>
  <si>
    <t>A-556637</t>
  </si>
  <si>
    <t>A-556638</t>
  </si>
  <si>
    <t>A-556639</t>
  </si>
  <si>
    <t>A-556640</t>
  </si>
  <si>
    <t>A-556641</t>
  </si>
  <si>
    <t>A-556642</t>
  </si>
  <si>
    <t>A-556643</t>
  </si>
  <si>
    <t>A-556644</t>
  </si>
  <si>
    <t>A-556645</t>
  </si>
  <si>
    <t>A-556646</t>
  </si>
  <si>
    <t>A-556647</t>
  </si>
  <si>
    <t>A-556648</t>
  </si>
  <si>
    <t>channel</t>
  </si>
  <si>
    <t>Row Labels</t>
  </si>
  <si>
    <t>total_profit</t>
  </si>
  <si>
    <t>total_revenue</t>
  </si>
  <si>
    <t>total_sales_count</t>
  </si>
  <si>
    <t>Unknown</t>
  </si>
  <si>
    <t>order_count</t>
  </si>
  <si>
    <t>average_order_value</t>
  </si>
  <si>
    <t>margin_pct</t>
  </si>
  <si>
    <t>total_quantity</t>
  </si>
  <si>
    <t>total_orders</t>
  </si>
  <si>
    <t>is_repeat</t>
  </si>
  <si>
    <t>Sum of is_repeat</t>
  </si>
  <si>
    <t>Count of total_orders</t>
  </si>
  <si>
    <t>repeat_rate</t>
  </si>
  <si>
    <t>Grand Total</t>
  </si>
  <si>
    <t>all_orders</t>
  </si>
  <si>
    <t>repeat_orders</t>
  </si>
  <si>
    <t>Source.Name</t>
  </si>
  <si>
    <t>website_sales_feb_2025.csv</t>
  </si>
  <si>
    <t>W-10097</t>
  </si>
  <si>
    <t>February</t>
  </si>
  <si>
    <t>W-10108</t>
  </si>
  <si>
    <t>W-10098</t>
  </si>
  <si>
    <t>W-10111</t>
  </si>
  <si>
    <t>W-10114</t>
  </si>
  <si>
    <t>W-10100</t>
  </si>
  <si>
    <t>W-10110</t>
  </si>
  <si>
    <t>W-10101</t>
  </si>
  <si>
    <t>CUS-1301</t>
  </si>
  <si>
    <t>hassan.alali@gmail.com</t>
  </si>
  <si>
    <t>W-10107</t>
  </si>
  <si>
    <t>W-10103</t>
  </si>
  <si>
    <t>W-10102</t>
  </si>
  <si>
    <t>W-10099</t>
  </si>
  <si>
    <t>sara.ahmed@gmail.com</t>
  </si>
  <si>
    <t>W-10104</t>
  </si>
  <si>
    <t>lina.mahmoud@outlook.com</t>
  </si>
  <si>
    <t>W-10109</t>
  </si>
  <si>
    <t>noor.alqasim@gmail.com</t>
  </si>
  <si>
    <t>W-10105</t>
  </si>
  <si>
    <t>W-10106</t>
  </si>
  <si>
    <t>W-10112</t>
  </si>
  <si>
    <t>CUS-1302</t>
  </si>
  <si>
    <t>priya.nair@gmail.com</t>
  </si>
  <si>
    <t>W-10115</t>
  </si>
  <si>
    <t>fatma.alzaabi@yahoo.com</t>
  </si>
  <si>
    <t>W-10116</t>
  </si>
  <si>
    <t>W-10117</t>
  </si>
  <si>
    <t>W-10118</t>
  </si>
  <si>
    <t>W-10119</t>
  </si>
  <si>
    <t>W-10120</t>
  </si>
  <si>
    <t>khalid.mansoor@gmail.com</t>
  </si>
  <si>
    <t>W-10121</t>
  </si>
  <si>
    <t>W-10122</t>
  </si>
  <si>
    <t>W-10123</t>
  </si>
  <si>
    <t>W-10124</t>
  </si>
  <si>
    <t>valentine.guest@gmail.com</t>
  </si>
  <si>
    <t>W-10125</t>
  </si>
  <si>
    <t>W-10126</t>
  </si>
  <si>
    <t>W-10127</t>
  </si>
  <si>
    <t>W-10128</t>
  </si>
  <si>
    <t>amira.hassan@hotmail.com</t>
  </si>
  <si>
    <t>W-10129</t>
  </si>
  <si>
    <t>W-10130</t>
  </si>
  <si>
    <t>W-10131</t>
  </si>
  <si>
    <t>W-10132</t>
  </si>
  <si>
    <t>rashid.alhammadi@gmail.com</t>
  </si>
  <si>
    <t>W-10133</t>
  </si>
  <si>
    <t>W-10134</t>
  </si>
  <si>
    <t>W-10135</t>
  </si>
  <si>
    <t>W-10136</t>
  </si>
  <si>
    <t>nouf.almarri@gmail.com</t>
  </si>
  <si>
    <t>W-10137</t>
  </si>
  <si>
    <t>W-10138</t>
  </si>
  <si>
    <t>W-10139</t>
  </si>
  <si>
    <t>W-10140</t>
  </si>
  <si>
    <t>guest.feb22@gmail.com</t>
  </si>
  <si>
    <t>W-10141</t>
  </si>
  <si>
    <t>W-10142</t>
  </si>
  <si>
    <t>W-10144</t>
  </si>
  <si>
    <t>diana.joseph@gmail.com</t>
  </si>
  <si>
    <t>W-10145</t>
  </si>
  <si>
    <t>W-10146</t>
  </si>
  <si>
    <t>W-10147</t>
  </si>
  <si>
    <t>W-10148</t>
  </si>
  <si>
    <t>marwa.salim@gmail.com</t>
  </si>
  <si>
    <t>W-10149</t>
  </si>
  <si>
    <t>W-10150</t>
  </si>
  <si>
    <t>W-10151</t>
  </si>
  <si>
    <t>W-10152</t>
  </si>
  <si>
    <t>ahmed.guest@yahoo.com</t>
  </si>
  <si>
    <t>website_sales_jan_2025.csv</t>
  </si>
  <si>
    <t>noon_sales_feb_2025.csv</t>
  </si>
  <si>
    <t>N-88872</t>
  </si>
  <si>
    <t>N-88880</t>
  </si>
  <si>
    <t>N-88889</t>
  </si>
  <si>
    <t>N-88877</t>
  </si>
  <si>
    <t>N-88873</t>
  </si>
  <si>
    <t>N-88882</t>
  </si>
  <si>
    <t>N-88875</t>
  </si>
  <si>
    <t>N-88884</t>
  </si>
  <si>
    <t>N-88885</t>
  </si>
  <si>
    <t>N-88879</t>
  </si>
  <si>
    <t>N-88874</t>
  </si>
  <si>
    <t>N-88878</t>
  </si>
  <si>
    <t>N-88883</t>
  </si>
  <si>
    <t>N-88886</t>
  </si>
  <si>
    <t>N-88876</t>
  </si>
  <si>
    <t>CUS-1303</t>
  </si>
  <si>
    <t>james.mathew@gmail.com</t>
  </si>
  <si>
    <t>N-88881</t>
  </si>
  <si>
    <t>N-88887</t>
  </si>
  <si>
    <t>N-88890</t>
  </si>
  <si>
    <t>N-88891</t>
  </si>
  <si>
    <t>N-88892</t>
  </si>
  <si>
    <t>N-88893</t>
  </si>
  <si>
    <t>N-88894</t>
  </si>
  <si>
    <t>N-88895</t>
  </si>
  <si>
    <t>N-88896</t>
  </si>
  <si>
    <t>N-88897</t>
  </si>
  <si>
    <t>N-88898</t>
  </si>
  <si>
    <t>N-88899</t>
  </si>
  <si>
    <t>N-88901</t>
  </si>
  <si>
    <t>N-88902</t>
  </si>
  <si>
    <t>N-88903</t>
  </si>
  <si>
    <t>N-88904</t>
  </si>
  <si>
    <t>N-88905</t>
  </si>
  <si>
    <t>N-88906</t>
  </si>
  <si>
    <t>N-88907</t>
  </si>
  <si>
    <t>N-88908</t>
  </si>
  <si>
    <t>N-88909</t>
  </si>
  <si>
    <t>N-88910</t>
  </si>
  <si>
    <t>N-88911</t>
  </si>
  <si>
    <t>N-88912</t>
  </si>
  <si>
    <t>N-88913</t>
  </si>
  <si>
    <t>N-88914</t>
  </si>
  <si>
    <t>N-88915</t>
  </si>
  <si>
    <t>N-88916</t>
  </si>
  <si>
    <t>N-88917</t>
  </si>
  <si>
    <t>N-88918</t>
  </si>
  <si>
    <t>N-88919</t>
  </si>
  <si>
    <t>N-88920</t>
  </si>
  <si>
    <t>N-88921</t>
  </si>
  <si>
    <t>N-88922</t>
  </si>
  <si>
    <t>N-88923</t>
  </si>
  <si>
    <t>N-88924</t>
  </si>
  <si>
    <t>N-88925</t>
  </si>
  <si>
    <t>N-88926</t>
  </si>
  <si>
    <t>N-88927</t>
  </si>
  <si>
    <t>noon_sales_jan_2025.csv</t>
  </si>
  <si>
    <t>amazon_sales_feb_2025.csv</t>
  </si>
  <si>
    <t>A-556649</t>
  </si>
  <si>
    <t>A-556658</t>
  </si>
  <si>
    <t>A-556660</t>
  </si>
  <si>
    <t>A-556662</t>
  </si>
  <si>
    <t>CUS-1304</t>
  </si>
  <si>
    <t>kevin.dsouza@gmail.com</t>
  </si>
  <si>
    <t>A-556652</t>
  </si>
  <si>
    <t>A-556656</t>
  </si>
  <si>
    <t>A-556654</t>
  </si>
  <si>
    <t>A-556664</t>
  </si>
  <si>
    <t>A-556665</t>
  </si>
  <si>
    <t>A-556650</t>
  </si>
  <si>
    <t>A-556657</t>
  </si>
  <si>
    <t>A-556653</t>
  </si>
  <si>
    <t>A-556661</t>
  </si>
  <si>
    <t>A-556651</t>
  </si>
  <si>
    <t>A-556655</t>
  </si>
  <si>
    <t>A-556659</t>
  </si>
  <si>
    <t>A-556663</t>
  </si>
  <si>
    <t>A-556666</t>
  </si>
  <si>
    <t>A-556667</t>
  </si>
  <si>
    <t>A-556668</t>
  </si>
  <si>
    <t>A-556669</t>
  </si>
  <si>
    <t>A-556670</t>
  </si>
  <si>
    <t>A-556671</t>
  </si>
  <si>
    <t>A-556672</t>
  </si>
  <si>
    <t>A-556673</t>
  </si>
  <si>
    <t>A-556674</t>
  </si>
  <si>
    <t>A-556675</t>
  </si>
  <si>
    <t>A-556676</t>
  </si>
  <si>
    <t>A-556677</t>
  </si>
  <si>
    <t>A-556679</t>
  </si>
  <si>
    <t>A-556680</t>
  </si>
  <si>
    <t>A-556681</t>
  </si>
  <si>
    <t>A-556682</t>
  </si>
  <si>
    <t>A-556683</t>
  </si>
  <si>
    <t>A-556684</t>
  </si>
  <si>
    <t>A-556685</t>
  </si>
  <si>
    <t>A-556686</t>
  </si>
  <si>
    <t>A-556687</t>
  </si>
  <si>
    <t>A-556688</t>
  </si>
  <si>
    <t>A-556689</t>
  </si>
  <si>
    <t>A-556690</t>
  </si>
  <si>
    <t>A-556691</t>
  </si>
  <si>
    <t>A-556693</t>
  </si>
  <si>
    <t>A-556694</t>
  </si>
  <si>
    <t>A-556695</t>
  </si>
  <si>
    <t>A-556696</t>
  </si>
  <si>
    <t>A-556697</t>
  </si>
  <si>
    <t>A-556698</t>
  </si>
  <si>
    <t>A-556699</t>
  </si>
  <si>
    <t>A-556700</t>
  </si>
  <si>
    <t>A-556701</t>
  </si>
  <si>
    <t>A-556702</t>
  </si>
  <si>
    <t>A-556703</t>
  </si>
  <si>
    <t>A-556704</t>
  </si>
  <si>
    <t>amazon_sales_jan_2025.csv</t>
  </si>
  <si>
    <t>website_sales_mar_2025.csv</t>
  </si>
  <si>
    <t>W-10153</t>
  </si>
  <si>
    <t>March</t>
  </si>
  <si>
    <t>W-10154</t>
  </si>
  <si>
    <t>W-10155</t>
  </si>
  <si>
    <t>sara.new@gmail.com</t>
  </si>
  <si>
    <t>W-10156</t>
  </si>
  <si>
    <t>W-10157</t>
  </si>
  <si>
    <t>CUS-1401</t>
  </si>
  <si>
    <t>ali.alshehhi@gmail.com</t>
  </si>
  <si>
    <t>W-10158</t>
  </si>
  <si>
    <t>W-10159</t>
  </si>
  <si>
    <t>W-10160</t>
  </si>
  <si>
    <t>lara.guest@outlook.com</t>
  </si>
  <si>
    <t>W-10161</t>
  </si>
  <si>
    <t>W-10162</t>
  </si>
  <si>
    <t>W-10163</t>
  </si>
  <si>
    <t>W-10164</t>
  </si>
  <si>
    <t>W-10165</t>
  </si>
  <si>
    <t>noor.guest@gmail.com</t>
  </si>
  <si>
    <t>W-10166</t>
  </si>
  <si>
    <t>W-10167</t>
  </si>
  <si>
    <t>W-10168</t>
  </si>
  <si>
    <t>W-10170</t>
  </si>
  <si>
    <t>W-10171</t>
  </si>
  <si>
    <t>fatma.guest@yahoo.com</t>
  </si>
  <si>
    <t>W-10172</t>
  </si>
  <si>
    <t>W-10173</t>
  </si>
  <si>
    <t>W-10174</t>
  </si>
  <si>
    <t>W-10175</t>
  </si>
  <si>
    <t>W-10176</t>
  </si>
  <si>
    <t>khalid.guest@gmail.com</t>
  </si>
  <si>
    <t>W-10177</t>
  </si>
  <si>
    <t>W-10178</t>
  </si>
  <si>
    <t>W-10179</t>
  </si>
  <si>
    <t>W-10180</t>
  </si>
  <si>
    <t>march.guest@gmail.com</t>
  </si>
  <si>
    <t>W-10181</t>
  </si>
  <si>
    <t>W-10182</t>
  </si>
  <si>
    <t>W-10183</t>
  </si>
  <si>
    <t>W-10184</t>
  </si>
  <si>
    <t>amira.guest@hotmail.com</t>
  </si>
  <si>
    <t>W-10185</t>
  </si>
  <si>
    <t>W-10186</t>
  </si>
  <si>
    <t>W-10187</t>
  </si>
  <si>
    <t>W-10188</t>
  </si>
  <si>
    <t>rashid.guest@gmail.com</t>
  </si>
  <si>
    <t>W-10189</t>
  </si>
  <si>
    <t>W-10190</t>
  </si>
  <si>
    <t>W-10191</t>
  </si>
  <si>
    <t>W-10192</t>
  </si>
  <si>
    <t>nouf.guest@gmail.com</t>
  </si>
  <si>
    <t>W-10193</t>
  </si>
  <si>
    <t>W-10194</t>
  </si>
  <si>
    <t>W-10195</t>
  </si>
  <si>
    <t>W-10196</t>
  </si>
  <si>
    <t>guest.mar22@gmail.com</t>
  </si>
  <si>
    <t>W-10197</t>
  </si>
  <si>
    <t>W-10198</t>
  </si>
  <si>
    <t>W-10200</t>
  </si>
  <si>
    <t>diana.guest@gmail.com</t>
  </si>
  <si>
    <t>W-10201</t>
  </si>
  <si>
    <t>W-10202</t>
  </si>
  <si>
    <t>W-10203</t>
  </si>
  <si>
    <t>W-10204</t>
  </si>
  <si>
    <t>marwa.guest@gmail.com</t>
  </si>
  <si>
    <t>W-10205</t>
  </si>
  <si>
    <t>W-10206</t>
  </si>
  <si>
    <t>W-10207</t>
  </si>
  <si>
    <t>W-10208</t>
  </si>
  <si>
    <t>ahmed.guest2@yahoo.com</t>
  </si>
  <si>
    <t>W-10209</t>
  </si>
  <si>
    <t>W-10210</t>
  </si>
  <si>
    <t>W-10211</t>
  </si>
  <si>
    <t>W-10212</t>
  </si>
  <si>
    <t>bilal.guest@gmail.com</t>
  </si>
  <si>
    <t>W-10213</t>
  </si>
  <si>
    <t>W-10214</t>
  </si>
  <si>
    <t>noon_sales_mar_2025.csv</t>
  </si>
  <si>
    <t>N-88928</t>
  </si>
  <si>
    <t>N-88929</t>
  </si>
  <si>
    <t>N-88930</t>
  </si>
  <si>
    <t>N-88931</t>
  </si>
  <si>
    <t>N-88932</t>
  </si>
  <si>
    <t>CUS-1402</t>
  </si>
  <si>
    <t>maria.george@gmail.com</t>
  </si>
  <si>
    <t>N-88933</t>
  </si>
  <si>
    <t>N-88934</t>
  </si>
  <si>
    <t>N-88935</t>
  </si>
  <si>
    <t>N-88936</t>
  </si>
  <si>
    <t>N-88937</t>
  </si>
  <si>
    <t>N-88938</t>
  </si>
  <si>
    <t>N-88939</t>
  </si>
  <si>
    <t>N-88940</t>
  </si>
  <si>
    <t>N-88941</t>
  </si>
  <si>
    <t>N-88942</t>
  </si>
  <si>
    <t>N-88943</t>
  </si>
  <si>
    <t>N-88944</t>
  </si>
  <si>
    <t>N-88945</t>
  </si>
  <si>
    <t>N-88946</t>
  </si>
  <si>
    <t>N-88947</t>
  </si>
  <si>
    <t>N-88948</t>
  </si>
  <si>
    <t>N-88949</t>
  </si>
  <si>
    <t>N-88950</t>
  </si>
  <si>
    <t>N-88951</t>
  </si>
  <si>
    <t>N-88952</t>
  </si>
  <si>
    <t>N-88953</t>
  </si>
  <si>
    <t>N-88954</t>
  </si>
  <si>
    <t>N-88955</t>
  </si>
  <si>
    <t>N-88957</t>
  </si>
  <si>
    <t>N-88958</t>
  </si>
  <si>
    <t>N-88959</t>
  </si>
  <si>
    <t>N-88960</t>
  </si>
  <si>
    <t>N-88961</t>
  </si>
  <si>
    <t>N-88962</t>
  </si>
  <si>
    <t>N-88963</t>
  </si>
  <si>
    <t>N-88964</t>
  </si>
  <si>
    <t>N-88965</t>
  </si>
  <si>
    <t>N-88966</t>
  </si>
  <si>
    <t>N-88967</t>
  </si>
  <si>
    <t>N-88968</t>
  </si>
  <si>
    <t>N-88969</t>
  </si>
  <si>
    <t>N-88970</t>
  </si>
  <si>
    <t>N-88971</t>
  </si>
  <si>
    <t>N-88972</t>
  </si>
  <si>
    <t>N-88973</t>
  </si>
  <si>
    <t>N-88974</t>
  </si>
  <si>
    <t>N-88975</t>
  </si>
  <si>
    <t>N-88976</t>
  </si>
  <si>
    <t>N-88977</t>
  </si>
  <si>
    <t>N-88978</t>
  </si>
  <si>
    <t>N-88979</t>
  </si>
  <si>
    <t>N-88980</t>
  </si>
  <si>
    <t>N-88981</t>
  </si>
  <si>
    <t>N-88982</t>
  </si>
  <si>
    <t>N-88983</t>
  </si>
  <si>
    <t>N-88984</t>
  </si>
  <si>
    <t>N-88985</t>
  </si>
  <si>
    <t>N-88986</t>
  </si>
  <si>
    <t>N-88987</t>
  </si>
  <si>
    <t>N-88988</t>
  </si>
  <si>
    <t>N-88989</t>
  </si>
  <si>
    <t>amazon_sales_mar_2025.csv</t>
  </si>
  <si>
    <t>A-556705</t>
  </si>
  <si>
    <t>A-556706</t>
  </si>
  <si>
    <t>A-556707</t>
  </si>
  <si>
    <t>A-556708</t>
  </si>
  <si>
    <t>CUS-1403</t>
  </si>
  <si>
    <t>robert.james@gmail.com</t>
  </si>
  <si>
    <t>A-556709</t>
  </si>
  <si>
    <t>A-556710</t>
  </si>
  <si>
    <t>A-556711</t>
  </si>
  <si>
    <t>A-556712</t>
  </si>
  <si>
    <t>A-556713</t>
  </si>
  <si>
    <t>A-556714</t>
  </si>
  <si>
    <t>A-556715</t>
  </si>
  <si>
    <t>A-556716</t>
  </si>
  <si>
    <t>A-556717</t>
  </si>
  <si>
    <t>A-556718</t>
  </si>
  <si>
    <t>A-556719</t>
  </si>
  <si>
    <t>A-556720</t>
  </si>
  <si>
    <t>A-556721</t>
  </si>
  <si>
    <t>A-556722</t>
  </si>
  <si>
    <t>A-556723</t>
  </si>
  <si>
    <t>A-556724</t>
  </si>
  <si>
    <t>A-556725</t>
  </si>
  <si>
    <t>A-556726</t>
  </si>
  <si>
    <t>A-556727</t>
  </si>
  <si>
    <t>A-556728</t>
  </si>
  <si>
    <t>A-556729</t>
  </si>
  <si>
    <t>A-556730</t>
  </si>
  <si>
    <t>A-556731</t>
  </si>
  <si>
    <t>A-556732</t>
  </si>
  <si>
    <t>A-556733</t>
  </si>
  <si>
    <t>A-556734</t>
  </si>
  <si>
    <t>A-556735</t>
  </si>
  <si>
    <t>A-556736</t>
  </si>
  <si>
    <t>A-556737</t>
  </si>
  <si>
    <t>A-556738</t>
  </si>
  <si>
    <t>A-556739</t>
  </si>
  <si>
    <t>A-556740</t>
  </si>
  <si>
    <t>A-556741</t>
  </si>
  <si>
    <t>A-556742</t>
  </si>
  <si>
    <t>A-556743</t>
  </si>
  <si>
    <t>A-556744</t>
  </si>
  <si>
    <t>A-556745</t>
  </si>
  <si>
    <t>A-556746</t>
  </si>
  <si>
    <t>A-556747</t>
  </si>
  <si>
    <t>A-556749</t>
  </si>
  <si>
    <t>A-556750</t>
  </si>
  <si>
    <t>A-556751</t>
  </si>
  <si>
    <t>A-556752</t>
  </si>
  <si>
    <t>A-556753</t>
  </si>
  <si>
    <t>A-556754</t>
  </si>
  <si>
    <t>A-556755</t>
  </si>
  <si>
    <t>A-556756</t>
  </si>
  <si>
    <t>A-556757</t>
  </si>
  <si>
    <t>A-556758</t>
  </si>
  <si>
    <t>A-556759</t>
  </si>
  <si>
    <t>A-556760</t>
  </si>
  <si>
    <t>A-556761</t>
  </si>
  <si>
    <t>A-556762</t>
  </si>
  <si>
    <t>A-556763</t>
  </si>
  <si>
    <t>A-556764</t>
  </si>
  <si>
    <t>A-556765</t>
  </si>
  <si>
    <t>A-556766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</si>
</sst>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AED]\ #,##0.00"/>
  </numFmts>
  <fonts count="4" x14ac:knownFonts="1">
    <font>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s>
  <fills count="5">
    <fill>
      <patternFill patternType="none"/>
    </fill>
    <fill>
      <patternFill patternType="gray125"/>
    </fill>
    <fill>
      <patternFill patternType="solid">
        <fgColor theme="5"/>
        <bgColor theme="5"/>
      </patternFill>
    </fill>
    <fill>
      <patternFill patternType="solid">
        <fgColor theme="3" tint="-0.249977111117893"/>
        <bgColor indexed="64"/>
      </patternFill>
    </fill>
    <fill>
      <patternFill patternType="solid">
        <fgColor theme="3" tint="0.39997558519241921"/>
        <bgColor indexed="64"/>
      </patternFill>
    </fill>
  </fills>
  <borders count="2">
    <border>
      <left/>
      <right/>
      <top/>
      <bottom/>
      <diagonal/>
    </border>
    <border>
      <left/>
      <right/>
      <top style="medium">
        <color theme="5" tint="-0.249977111117893"/>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0" borderId="0" xfId="0" applyAlignment="1">
      <alignment horizontal="right" vertical="center"/>
    </xf>
    <xf numFmtId="0" fontId="0" fillId="0" borderId="0" xfId="0" applyAlignment="1">
      <alignment horizontal="center" vertical="center"/>
    </xf>
    <xf numFmtId="14"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pivotButton="1" applyAlignment="1">
      <alignment horizontal="left" vertical="center"/>
    </xf>
    <xf numFmtId="0" fontId="0" fillId="0" borderId="0" xfId="0" applyAlignment="1">
      <alignment horizontal="left" vertical="center"/>
    </xf>
    <xf numFmtId="2" fontId="0" fillId="0" borderId="0" xfId="0" applyNumberFormat="1" applyAlignment="1">
      <alignment horizontal="right" vertical="center"/>
    </xf>
    <xf numFmtId="1" fontId="0" fillId="0" borderId="0" xfId="0" applyNumberFormat="1" applyAlignment="1">
      <alignment horizontal="right" vertical="center"/>
    </xf>
    <xf numFmtId="164" fontId="0" fillId="0" borderId="0" xfId="0" applyNumberFormat="1" applyAlignment="1">
      <alignment horizontal="right" vertical="center"/>
    </xf>
    <xf numFmtId="0" fontId="2" fillId="2" borderId="1" xfId="0" applyFont="1" applyFill="1" applyBorder="1" applyAlignment="1">
      <alignment horizontal="right" vertical="center"/>
    </xf>
    <xf numFmtId="9" fontId="0" fillId="0" borderId="0" xfId="1" applyFont="1" applyAlignment="1">
      <alignment horizontal="right" vertical="center"/>
    </xf>
    <xf numFmtId="0" fontId="0" fillId="3" borderId="0" xfId="0" applyFill="1"/>
    <xf numFmtId="0" fontId="0" fillId="4" borderId="0" xfId="0" applyFill="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 fontId="0" fillId="0" borderId="0" xfId="0" applyNumberFormat="1"/>
    <xf numFmtId="0" fontId="0" fillId="0" borderId="0" xfId="0" pivotButton="1" applyAlignment="1">
      <alignment horizontal="right" vertical="center"/>
    </xf>
    <xf numFmtId="0" fontId="0" fillId="0" borderId="0" xfId="0" applyNumberFormat="1"/>
    <xf numFmtId="0" fontId="0" fillId="0" borderId="0" xfId="0" applyNumberFormat="1" applyAlignment="1">
      <alignment horizontal="center" vertical="center"/>
    </xf>
    <xf numFmtId="0" fontId="0" fillId="0" borderId="0" xfId="0" applyNumberFormat="1" applyAlignment="1">
      <alignment horizontal="right" vertical="center"/>
    </xf>
    <xf numFmtId="0" fontId="0" fillId="0" borderId="0" xfId="0" applyAlignment="1">
      <alignment horizontal="left" indent="1"/>
    </xf>
  </cellXfs>
  <cellStyles count="2">
    <cellStyle name="Normal" xfId="0" builtinId="0"/>
    <cellStyle name="Percent" xfId="1" builtinId="5"/>
  </cellStyles>
  <dxfs count="1004">
    <dxf>
      <numFmt numFmtId="0" formatCode="General"/>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2" formatCode="0.00"/>
    </dxf>
    <dxf>
      <numFmt numFmtId="164" formatCode="[$AED]\ #,##0.00"/>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1" formatCode="0"/>
    </dxf>
    <dxf>
      <numFmt numFmtId="164" formatCode="[$AED]\ #,##0.00"/>
    </dxf>
    <dxf>
      <numFmt numFmtId="2" formatCode="0.00"/>
    </dxf>
    <dxf>
      <alignment vertical="center"/>
    </dxf>
    <dxf>
      <alignment vertical="center"/>
    </dxf>
    <dxf>
      <alignment horizontal="right"/>
    </dxf>
    <dxf>
      <alignment horizontal="right"/>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2" formatCode="0.00"/>
    </dxf>
    <dxf>
      <numFmt numFmtId="164" formatCode="[$AED]\ #,##0.00"/>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1" formatCode="0"/>
    </dxf>
    <dxf>
      <numFmt numFmtId="164" formatCode="[$AED]\ #,##0.00"/>
    </dxf>
    <dxf>
      <numFmt numFmtId="2" formatCode="0.00"/>
    </dxf>
    <dxf>
      <alignment vertical="center"/>
    </dxf>
    <dxf>
      <alignment vertical="center"/>
    </dxf>
    <dxf>
      <alignment horizontal="right"/>
    </dxf>
    <dxf>
      <alignment horizontal="right"/>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2" formatCode="0.00"/>
    </dxf>
    <dxf>
      <numFmt numFmtId="164" formatCode="[$AED]\ #,##0.00"/>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1" formatCode="0"/>
    </dxf>
    <dxf>
      <numFmt numFmtId="164" formatCode="[$AED]\ #,##0.00"/>
    </dxf>
    <dxf>
      <numFmt numFmtId="2" formatCode="0.00"/>
    </dxf>
    <dxf>
      <alignment vertical="center"/>
    </dxf>
    <dxf>
      <alignment vertical="center"/>
    </dxf>
    <dxf>
      <alignment horizontal="right"/>
    </dxf>
    <dxf>
      <alignment horizontal="right"/>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2" formatCode="0.00"/>
    </dxf>
    <dxf>
      <numFmt numFmtId="164" formatCode="[$AED]\ #,##0.00"/>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1" formatCode="0"/>
    </dxf>
    <dxf>
      <numFmt numFmtId="164" formatCode="[$AED]\ #,##0.00"/>
    </dxf>
    <dxf>
      <numFmt numFmtId="2" formatCode="0.00"/>
    </dxf>
    <dxf>
      <alignment vertical="center"/>
    </dxf>
    <dxf>
      <alignment vertical="center"/>
    </dxf>
    <dxf>
      <alignment horizontal="right"/>
    </dxf>
    <dxf>
      <alignment horizontal="right"/>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2" formatCode="0.00"/>
    </dxf>
    <dxf>
      <numFmt numFmtId="164" formatCode="[$AED]\ #,##0.00"/>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1" formatCode="0"/>
    </dxf>
    <dxf>
      <numFmt numFmtId="164" formatCode="[$AED]\ #,##0.00"/>
    </dxf>
    <dxf>
      <numFmt numFmtId="2" formatCode="0.00"/>
    </dxf>
    <dxf>
      <alignment vertical="center"/>
    </dxf>
    <dxf>
      <alignment vertical="center"/>
    </dxf>
    <dxf>
      <alignment horizontal="right"/>
    </dxf>
    <dxf>
      <alignment horizontal="right"/>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2" formatCode="0.00"/>
    </dxf>
    <dxf>
      <numFmt numFmtId="164" formatCode="[$AED]\ #,##0.00"/>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right"/>
    </dxf>
    <dxf>
      <alignment horizontal="right"/>
    </dxf>
    <dxf>
      <numFmt numFmtId="164" formatCode="[$AED]\ #,##0.00"/>
    </dxf>
    <dxf>
      <numFmt numFmtId="1" formatCode="0"/>
    </dxf>
    <dxf>
      <numFmt numFmtId="164" formatCode="[$AED]\ #,##0.00"/>
    </dxf>
    <dxf>
      <numFmt numFmtId="2" formatCode="0.00"/>
    </dxf>
    <dxf>
      <alignment vertical="center"/>
    </dxf>
    <dxf>
      <alignment vertical="center"/>
    </dxf>
    <dxf>
      <alignment horizontal="right"/>
    </dxf>
    <dxf>
      <alignment horizontal="right"/>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numFmt numFmtId="164" formatCode="[$AED]\ #,##0.00"/>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right"/>
    </dxf>
    <dxf>
      <alignment horizontal="right"/>
    </dxf>
    <dxf>
      <alignment horizontal="center" indent="0"/>
    </dxf>
    <dxf>
      <alignment horizontal="center" indent="0"/>
    </dxf>
    <dxf>
      <alignment vertical="center"/>
    </dxf>
    <dxf>
      <alignment vertical="center"/>
    </dxf>
    <dxf>
      <alignment vertical="center"/>
    </dxf>
    <dxf>
      <alignment horizontal="right"/>
    </dxf>
    <dxf>
      <alignment horizontal="right"/>
    </dxf>
    <dxf>
      <alignment horizontal="right"/>
    </dxf>
    <dxf>
      <numFmt numFmtId="164" formatCode="[$AED]\ #,##0.00"/>
    </dxf>
    <dxf>
      <numFmt numFmtId="2" formatCode="0.00"/>
    </dxf>
    <dxf>
      <alignment vertical="center"/>
    </dxf>
    <dxf>
      <alignment vertical="center"/>
    </dxf>
    <dxf>
      <alignment horizontal="right"/>
    </dxf>
    <dxf>
      <alignment horizontal="right"/>
    </dxf>
    <dxf>
      <alignment vertical="center" indent="0"/>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[DOM_Dashboard.xlsx]analysis!PivotTable7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Product Profitability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analysis!$I$26</c:f>
              <c:strCache>
                <c:ptCount val="1"/>
                <c:pt idx="0">
                  <c:v>total_revenue</c:v>
                </c:pt>
              </c:strCache>
            </c:strRef>
          </c:tx>
          <c:spPr>
            <a:solidFill>
              <a:schemeClr val="accent2">
                <a:tint val="77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analysis!$H$27:$H$42</c:f>
              <c:strCache>
                <c:ptCount val="16"/>
                <c:pt idx="0">
                  <c:v>LG 55" OLED C3 TV</c:v>
                </c:pt>
                <c:pt idx="1">
                  <c:v>Samsung 65" Crystal UHD TV</c:v>
                </c:pt>
                <c:pt idx="2">
                  <c:v>Dyson V8 Cordless Vacuum</c:v>
                </c:pt>
                <c:pt idx="3">
                  <c:v>Apple iPad 10th Gen 64GB</c:v>
                </c:pt>
                <c:pt idx="4">
                  <c:v>iRobot Roomba i3 Robot Vacuum</c:v>
                </c:pt>
                <c:pt idx="5">
                  <c:v>Anker PowerCore 20000 Power Bank</c:v>
                </c:pt>
                <c:pt idx="6">
                  <c:v>JBL Flip 6 Portable Speaker</c:v>
                </c:pt>
                <c:pt idx="7">
                  <c:v>Sony WH-1000XM5 Headphones</c:v>
                </c:pt>
                <c:pt idx="8">
                  <c:v>Philips Air Fryer 4.1L</c:v>
                </c:pt>
                <c:pt idx="9">
                  <c:v>Tefal Easy Fry Deluxe</c:v>
                </c:pt>
                <c:pt idx="10">
                  <c:v>Xiaomi Mi Band 8</c:v>
                </c:pt>
                <c:pt idx="11">
                  <c:v>Fitbit Inspire 3</c:v>
                </c:pt>
                <c:pt idx="12">
                  <c:v>3M Command Adhesive Strips (Pack of 12)</c:v>
                </c:pt>
                <c:pt idx="13">
                  <c:v>Yankee Candle Large Jar (Vanilla)</c:v>
                </c:pt>
                <c:pt idx="14">
                  <c:v>Scotch Brite Heavy Duty Scrub (6-pack)</c:v>
                </c:pt>
                <c:pt idx="15">
                  <c:v>Glad Garbage Bags Large (30-pack)</c:v>
                </c:pt>
              </c:strCache>
            </c:strRef>
          </c:cat>
          <c:val>
            <c:numRef>
              <c:f>analysis!$I$27:$I$42</c:f>
              <c:numCache>
                <c:formatCode>[$AED]\ #,##0.00</c:formatCode>
                <c:ptCount val="16"/>
                <c:pt idx="0">
                  <c:v>42459.1</c:v>
                </c:pt>
                <c:pt idx="1">
                  <c:v>37279</c:v>
                </c:pt>
                <c:pt idx="2">
                  <c:v>35818.899999999994</c:v>
                </c:pt>
                <c:pt idx="3">
                  <c:v>30107.799999999996</c:v>
                </c:pt>
                <c:pt idx="4">
                  <c:v>25285</c:v>
                </c:pt>
                <c:pt idx="5">
                  <c:v>24010.999999999996</c:v>
                </c:pt>
                <c:pt idx="6">
                  <c:v>21638.1</c:v>
                </c:pt>
                <c:pt idx="7">
                  <c:v>16112.100000000004</c:v>
                </c:pt>
                <c:pt idx="8">
                  <c:v>14723</c:v>
                </c:pt>
                <c:pt idx="9">
                  <c:v>12391.1</c:v>
                </c:pt>
                <c:pt idx="10">
                  <c:v>8037.9000000000033</c:v>
                </c:pt>
                <c:pt idx="11">
                  <c:v>5196.1000000000004</c:v>
                </c:pt>
                <c:pt idx="12">
                  <c:v>4788</c:v>
                </c:pt>
                <c:pt idx="13">
                  <c:v>4361</c:v>
                </c:pt>
                <c:pt idx="14">
                  <c:v>2958</c:v>
                </c:pt>
                <c:pt idx="15">
                  <c:v>2270</c:v>
                </c:pt>
              </c:numCache>
            </c:numRef>
          </c:val>
          <c:extLst>
            <c:ext xmlns:c16="http://schemas.microsoft.com/office/drawing/2014/chart" uri="{C3380CC4-5D6E-409C-BE32-E72D297353CC}">
              <c16:uniqueId val="{00000000-7C4B-499C-83BB-EF5C1409561F}"/>
            </c:ext>
          </c:extLst>
        </c:ser>
        <c:dLbls>
          <c:showLegendKey val="0"/>
          <c:showVal val="0"/>
          <c:showCatName val="0"/>
          <c:showSerName val="0"/>
          <c:showPercent val="0"/>
          <c:showBubbleSize val="0"/>
        </c:dLbls>
        <c:gapWidth val="219"/>
        <c:overlap val="-27"/>
        <c:axId val="1373105103"/>
        <c:axId val="1373105583"/>
      </c:barChart>
      <c:lineChart>
        <c:grouping val="standard"/>
        <c:varyColors val="0"/>
        <c:ser>
          <c:idx val="1"/>
          <c:order val="1"/>
          <c:tx>
            <c:strRef>
              <c:f>analysis!$J$26</c:f>
              <c:strCache>
                <c:ptCount val="1"/>
                <c:pt idx="0">
                  <c:v>margin_pct</c:v>
                </c:pt>
              </c:strCache>
            </c:strRef>
          </c:tx>
          <c:spPr>
            <a:ln w="38100" cap="rnd">
              <a:solidFill>
                <a:schemeClr val="accent2">
                  <a:shade val="7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analysis!$H$27:$H$42</c:f>
              <c:strCache>
                <c:ptCount val="16"/>
                <c:pt idx="0">
                  <c:v>LG 55" OLED C3 TV</c:v>
                </c:pt>
                <c:pt idx="1">
                  <c:v>Samsung 65" Crystal UHD TV</c:v>
                </c:pt>
                <c:pt idx="2">
                  <c:v>Dyson V8 Cordless Vacuum</c:v>
                </c:pt>
                <c:pt idx="3">
                  <c:v>Apple iPad 10th Gen 64GB</c:v>
                </c:pt>
                <c:pt idx="4">
                  <c:v>iRobot Roomba i3 Robot Vacuum</c:v>
                </c:pt>
                <c:pt idx="5">
                  <c:v>Anker PowerCore 20000 Power Bank</c:v>
                </c:pt>
                <c:pt idx="6">
                  <c:v>JBL Flip 6 Portable Speaker</c:v>
                </c:pt>
                <c:pt idx="7">
                  <c:v>Sony WH-1000XM5 Headphones</c:v>
                </c:pt>
                <c:pt idx="8">
                  <c:v>Philips Air Fryer 4.1L</c:v>
                </c:pt>
                <c:pt idx="9">
                  <c:v>Tefal Easy Fry Deluxe</c:v>
                </c:pt>
                <c:pt idx="10">
                  <c:v>Xiaomi Mi Band 8</c:v>
                </c:pt>
                <c:pt idx="11">
                  <c:v>Fitbit Inspire 3</c:v>
                </c:pt>
                <c:pt idx="12">
                  <c:v>3M Command Adhesive Strips (Pack of 12)</c:v>
                </c:pt>
                <c:pt idx="13">
                  <c:v>Yankee Candle Large Jar (Vanilla)</c:v>
                </c:pt>
                <c:pt idx="14">
                  <c:v>Scotch Brite Heavy Duty Scrub (6-pack)</c:v>
                </c:pt>
                <c:pt idx="15">
                  <c:v>Glad Garbage Bags Large (30-pack)</c:v>
                </c:pt>
              </c:strCache>
            </c:strRef>
          </c:cat>
          <c:val>
            <c:numRef>
              <c:f>analysis!$J$27:$J$42</c:f>
              <c:numCache>
                <c:formatCode>0.00</c:formatCode>
                <c:ptCount val="16"/>
                <c:pt idx="0">
                  <c:v>31.746080345556077</c:v>
                </c:pt>
                <c:pt idx="1">
                  <c:v>31.811475629711101</c:v>
                </c:pt>
                <c:pt idx="2">
                  <c:v>39.026603273690711</c:v>
                </c:pt>
                <c:pt idx="3">
                  <c:v>30.018134835491146</c:v>
                </c:pt>
                <c:pt idx="4">
                  <c:v>35.732647814910024</c:v>
                </c:pt>
                <c:pt idx="5">
                  <c:v>51.209862146516208</c:v>
                </c:pt>
                <c:pt idx="6">
                  <c:v>48.331877567808647</c:v>
                </c:pt>
                <c:pt idx="7">
                  <c:v>37.003866659218851</c:v>
                </c:pt>
                <c:pt idx="8">
                  <c:v>50.315832371120017</c:v>
                </c:pt>
                <c:pt idx="9">
                  <c:v>50.851821065119317</c:v>
                </c:pt>
                <c:pt idx="10">
                  <c:v>49.364883862700424</c:v>
                </c:pt>
                <c:pt idx="11">
                  <c:v>46.979465368256953</c:v>
                </c:pt>
                <c:pt idx="12">
                  <c:v>59.022556390977442</c:v>
                </c:pt>
                <c:pt idx="13">
                  <c:v>51.845906902086668</c:v>
                </c:pt>
                <c:pt idx="14">
                  <c:v>62.068965517241381</c:v>
                </c:pt>
                <c:pt idx="15">
                  <c:v>57.709251101321591</c:v>
                </c:pt>
              </c:numCache>
            </c:numRef>
          </c:val>
          <c:smooth val="1"/>
          <c:extLst>
            <c:ext xmlns:c16="http://schemas.microsoft.com/office/drawing/2014/chart" uri="{C3380CC4-5D6E-409C-BE32-E72D297353CC}">
              <c16:uniqueId val="{00000001-7C4B-499C-83BB-EF5C1409561F}"/>
            </c:ext>
          </c:extLst>
        </c:ser>
        <c:dLbls>
          <c:showLegendKey val="0"/>
          <c:showVal val="0"/>
          <c:showCatName val="0"/>
          <c:showSerName val="0"/>
          <c:showPercent val="0"/>
          <c:showBubbleSize val="0"/>
        </c:dLbls>
        <c:marker val="1"/>
        <c:smooth val="0"/>
        <c:axId val="1373106543"/>
        <c:axId val="1373115183"/>
      </c:lineChart>
      <c:catAx>
        <c:axId val="137310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05583"/>
        <c:crosses val="autoZero"/>
        <c:auto val="1"/>
        <c:lblAlgn val="ctr"/>
        <c:lblOffset val="100"/>
        <c:noMultiLvlLbl val="0"/>
      </c:catAx>
      <c:valAx>
        <c:axId val="13731055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05103"/>
        <c:crosses val="autoZero"/>
        <c:crossBetween val="between"/>
        <c:dispUnits>
          <c:builtInUnit val="thousands"/>
        </c:dispUnits>
      </c:valAx>
      <c:valAx>
        <c:axId val="13731151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06543"/>
        <c:crosses val="max"/>
        <c:crossBetween val="between"/>
      </c:valAx>
      <c:catAx>
        <c:axId val="1373106543"/>
        <c:scaling>
          <c:orientation val="minMax"/>
        </c:scaling>
        <c:delete val="1"/>
        <c:axPos val="b"/>
        <c:numFmt formatCode="General" sourceLinked="1"/>
        <c:majorTickMark val="out"/>
        <c:minorTickMark val="none"/>
        <c:tickLblPos val="nextTo"/>
        <c:crossAx val="13731151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[DOM_Dashboard.xlsx]analysis!PivotTable5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by Channel</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numFmt formatCode="#,##0.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numFmt formatCode="#,##0.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ln w="381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analysis!$D$8</c:f>
              <c:strCache>
                <c:ptCount val="1"/>
                <c:pt idx="0">
                  <c:v>total_revenue</c:v>
                </c:pt>
              </c:strCache>
            </c:strRef>
          </c:tx>
          <c:spPr>
            <a:solidFill>
              <a:schemeClr val="accent2"/>
            </a:solidFill>
            <a:ln>
              <a:noFill/>
            </a:ln>
            <a:effectLst/>
          </c:spPr>
          <c:invertIfNegative val="0"/>
          <c:dLbls>
            <c:numFmt formatCode="#,##0.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analysis!$B$9:$B$12</c:f>
              <c:strCache>
                <c:ptCount val="3"/>
                <c:pt idx="0">
                  <c:v>Noon</c:v>
                </c:pt>
                <c:pt idx="1">
                  <c:v>Amazon</c:v>
                </c:pt>
                <c:pt idx="2">
                  <c:v>Website</c:v>
                </c:pt>
              </c:strCache>
            </c:strRef>
          </c:cat>
          <c:val>
            <c:numRef>
              <c:f>analysis!$D$9:$D$12</c:f>
              <c:numCache>
                <c:formatCode>[$AED]\ #,##0.00</c:formatCode>
                <c:ptCount val="3"/>
                <c:pt idx="0">
                  <c:v>97080.400000000052</c:v>
                </c:pt>
                <c:pt idx="1">
                  <c:v>95413.600000000064</c:v>
                </c:pt>
                <c:pt idx="2">
                  <c:v>94942.100000000049</c:v>
                </c:pt>
              </c:numCache>
            </c:numRef>
          </c:val>
          <c:extLst>
            <c:ext xmlns:c16="http://schemas.microsoft.com/office/drawing/2014/chart" uri="{C3380CC4-5D6E-409C-BE32-E72D297353CC}">
              <c16:uniqueId val="{00000000-03C4-4F32-891D-6CD3AB6EAEE5}"/>
            </c:ext>
          </c:extLst>
        </c:ser>
        <c:ser>
          <c:idx val="2"/>
          <c:order val="2"/>
          <c:tx>
            <c:strRef>
              <c:f>analysis!$E$8</c:f>
              <c:strCache>
                <c:ptCount val="1"/>
                <c:pt idx="0">
                  <c:v>total_profit</c:v>
                </c:pt>
              </c:strCache>
            </c:strRef>
          </c:tx>
          <c:spPr>
            <a:solidFill>
              <a:schemeClr val="accent2">
                <a:tint val="65000"/>
              </a:schemeClr>
            </a:solidFill>
            <a:ln>
              <a:noFill/>
            </a:ln>
            <a:effectLst/>
          </c:spPr>
          <c:invertIfNegative val="0"/>
          <c:dLbls>
            <c:numFmt formatCode="#,##0.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analysis!$B$9:$B$12</c:f>
              <c:strCache>
                <c:ptCount val="3"/>
                <c:pt idx="0">
                  <c:v>Noon</c:v>
                </c:pt>
                <c:pt idx="1">
                  <c:v>Amazon</c:v>
                </c:pt>
                <c:pt idx="2">
                  <c:v>Website</c:v>
                </c:pt>
              </c:strCache>
            </c:strRef>
          </c:cat>
          <c:val>
            <c:numRef>
              <c:f>analysis!$E$9:$E$12</c:f>
              <c:numCache>
                <c:formatCode>[$AED]\ #,##0.00</c:formatCode>
                <c:ptCount val="3"/>
                <c:pt idx="0">
                  <c:v>39151.399999999972</c:v>
                </c:pt>
                <c:pt idx="1">
                  <c:v>37519.599999999977</c:v>
                </c:pt>
                <c:pt idx="2">
                  <c:v>37786.099999999969</c:v>
                </c:pt>
              </c:numCache>
            </c:numRef>
          </c:val>
          <c:extLst>
            <c:ext xmlns:c16="http://schemas.microsoft.com/office/drawing/2014/chart" uri="{C3380CC4-5D6E-409C-BE32-E72D297353CC}">
              <c16:uniqueId val="{00000001-03C4-4F32-891D-6CD3AB6EAEE5}"/>
            </c:ext>
          </c:extLst>
        </c:ser>
        <c:dLbls>
          <c:showLegendKey val="0"/>
          <c:showVal val="0"/>
          <c:showCatName val="0"/>
          <c:showSerName val="0"/>
          <c:showPercent val="0"/>
          <c:showBubbleSize val="0"/>
        </c:dLbls>
        <c:gapWidth val="219"/>
        <c:axId val="624146879"/>
        <c:axId val="624144959"/>
      </c:barChart>
      <c:lineChart>
        <c:grouping val="standard"/>
        <c:varyColors val="0"/>
        <c:ser>
          <c:idx val="0"/>
          <c:order val="0"/>
          <c:tx>
            <c:strRef>
              <c:f>analysis!$C$8</c:f>
              <c:strCache>
                <c:ptCount val="1"/>
                <c:pt idx="0">
                  <c:v>total_sales_count</c:v>
                </c:pt>
              </c:strCache>
            </c:strRef>
          </c:tx>
          <c:spPr>
            <a:ln w="38100" cap="rnd">
              <a:solidFill>
                <a:schemeClr val="accent2">
                  <a:shade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analysis!$B$9:$B$12</c:f>
              <c:strCache>
                <c:ptCount val="3"/>
                <c:pt idx="0">
                  <c:v>Noon</c:v>
                </c:pt>
                <c:pt idx="1">
                  <c:v>Amazon</c:v>
                </c:pt>
                <c:pt idx="2">
                  <c:v>Website</c:v>
                </c:pt>
              </c:strCache>
            </c:strRef>
          </c:cat>
          <c:val>
            <c:numRef>
              <c:f>analysis!$C$9:$C$12</c:f>
              <c:numCache>
                <c:formatCode>General</c:formatCode>
                <c:ptCount val="3"/>
                <c:pt idx="0">
                  <c:v>163</c:v>
                </c:pt>
                <c:pt idx="1">
                  <c:v>161</c:v>
                </c:pt>
                <c:pt idx="2">
                  <c:v>166</c:v>
                </c:pt>
              </c:numCache>
            </c:numRef>
          </c:val>
          <c:smooth val="1"/>
          <c:extLst>
            <c:ext xmlns:c16="http://schemas.microsoft.com/office/drawing/2014/chart" uri="{C3380CC4-5D6E-409C-BE32-E72D297353CC}">
              <c16:uniqueId val="{00000002-03C4-4F32-891D-6CD3AB6EAEE5}"/>
            </c:ext>
          </c:extLst>
        </c:ser>
        <c:dLbls>
          <c:showLegendKey val="0"/>
          <c:showVal val="0"/>
          <c:showCatName val="0"/>
          <c:showSerName val="0"/>
          <c:showPercent val="0"/>
          <c:showBubbleSize val="0"/>
        </c:dLbls>
        <c:marker val="1"/>
        <c:smooth val="0"/>
        <c:axId val="625668847"/>
        <c:axId val="625669807"/>
      </c:lineChart>
      <c:catAx>
        <c:axId val="62414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44959"/>
        <c:crosses val="autoZero"/>
        <c:auto val="1"/>
        <c:lblAlgn val="ctr"/>
        <c:lblOffset val="100"/>
        <c:noMultiLvlLbl val="0"/>
      </c:catAx>
      <c:valAx>
        <c:axId val="624144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46879"/>
        <c:crosses val="autoZero"/>
        <c:crossBetween val="between"/>
        <c:dispUnits>
          <c:builtInUnit val="thousands"/>
        </c:dispUnits>
      </c:valAx>
      <c:valAx>
        <c:axId val="6256698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68847"/>
        <c:crosses val="max"/>
        <c:crossBetween val="between"/>
      </c:valAx>
      <c:catAx>
        <c:axId val="625668847"/>
        <c:scaling>
          <c:orientation val="minMax"/>
        </c:scaling>
        <c:delete val="1"/>
        <c:axPos val="b"/>
        <c:numFmt formatCode="General" sourceLinked="1"/>
        <c:majorTickMark val="out"/>
        <c:minorTickMark val="none"/>
        <c:tickLblPos val="nextTo"/>
        <c:crossAx val="62566980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[DOM_Dashboard.xlsx]analysis!PivotTable6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analysis!$D$29</c:f>
              <c:strCache>
                <c:ptCount val="1"/>
                <c:pt idx="0">
                  <c:v>total_revenue</c:v>
                </c:pt>
              </c:strCache>
            </c:strRef>
          </c:tx>
          <c:spPr>
            <a:solidFill>
              <a:schemeClr val="accent2">
                <a:tint val="77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analysis!$B$30:$B$33</c:f>
              <c:strCache>
                <c:ptCount val="4"/>
                <c:pt idx="0">
                  <c:v>Returning</c:v>
                </c:pt>
                <c:pt idx="1">
                  <c:v>New</c:v>
                </c:pt>
                <c:pt idx="2">
                  <c:v>VIP</c:v>
                </c:pt>
                <c:pt idx="3">
                  <c:v>Guest</c:v>
                </c:pt>
              </c:strCache>
            </c:strRef>
          </c:cat>
          <c:val>
            <c:numRef>
              <c:f>analysis!$D$30:$D$33</c:f>
              <c:numCache>
                <c:formatCode>[$AED]\ #,##0.00</c:formatCode>
                <c:ptCount val="4"/>
                <c:pt idx="0">
                  <c:v>116053.20000000006</c:v>
                </c:pt>
                <c:pt idx="1">
                  <c:v>68977.999999999985</c:v>
                </c:pt>
                <c:pt idx="2">
                  <c:v>54884.199999999975</c:v>
                </c:pt>
                <c:pt idx="3">
                  <c:v>47520.699999999983</c:v>
                </c:pt>
              </c:numCache>
            </c:numRef>
          </c:val>
          <c:extLst>
            <c:ext xmlns:c16="http://schemas.microsoft.com/office/drawing/2014/chart" uri="{C3380CC4-5D6E-409C-BE32-E72D297353CC}">
              <c16:uniqueId val="{00000000-247B-487F-BB8E-54B0F725C6EA}"/>
            </c:ext>
          </c:extLst>
        </c:ser>
        <c:dLbls>
          <c:showLegendKey val="0"/>
          <c:showVal val="0"/>
          <c:showCatName val="0"/>
          <c:showSerName val="0"/>
          <c:showPercent val="0"/>
          <c:showBubbleSize val="0"/>
        </c:dLbls>
        <c:gapWidth val="219"/>
        <c:axId val="625701967"/>
        <c:axId val="625727887"/>
      </c:barChart>
      <c:lineChart>
        <c:grouping val="standard"/>
        <c:varyColors val="0"/>
        <c:ser>
          <c:idx val="0"/>
          <c:order val="0"/>
          <c:tx>
            <c:strRef>
              <c:f>analysis!$C$29</c:f>
              <c:strCache>
                <c:ptCount val="1"/>
                <c:pt idx="0">
                  <c:v>total_sales_count</c:v>
                </c:pt>
              </c:strCache>
            </c:strRef>
          </c:tx>
          <c:spPr>
            <a:ln w="38100" cap="rnd">
              <a:solidFill>
                <a:schemeClr val="accent2">
                  <a:shade val="7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analysis!$B$30:$B$33</c:f>
              <c:strCache>
                <c:ptCount val="4"/>
                <c:pt idx="0">
                  <c:v>Returning</c:v>
                </c:pt>
                <c:pt idx="1">
                  <c:v>New</c:v>
                </c:pt>
                <c:pt idx="2">
                  <c:v>VIP</c:v>
                </c:pt>
                <c:pt idx="3">
                  <c:v>Guest</c:v>
                </c:pt>
              </c:strCache>
            </c:strRef>
          </c:cat>
          <c:val>
            <c:numRef>
              <c:f>analysis!$C$30:$C$33</c:f>
              <c:numCache>
                <c:formatCode>General</c:formatCode>
                <c:ptCount val="4"/>
                <c:pt idx="0">
                  <c:v>163</c:v>
                </c:pt>
                <c:pt idx="1">
                  <c:v>100</c:v>
                </c:pt>
                <c:pt idx="2">
                  <c:v>84</c:v>
                </c:pt>
                <c:pt idx="3">
                  <c:v>143</c:v>
                </c:pt>
              </c:numCache>
            </c:numRef>
          </c:val>
          <c:smooth val="1"/>
          <c:extLst>
            <c:ext xmlns:c16="http://schemas.microsoft.com/office/drawing/2014/chart" uri="{C3380CC4-5D6E-409C-BE32-E72D297353CC}">
              <c16:uniqueId val="{00000001-247B-487F-BB8E-54B0F725C6EA}"/>
            </c:ext>
          </c:extLst>
        </c:ser>
        <c:dLbls>
          <c:showLegendKey val="0"/>
          <c:showVal val="0"/>
          <c:showCatName val="0"/>
          <c:showSerName val="0"/>
          <c:showPercent val="0"/>
          <c:showBubbleSize val="0"/>
        </c:dLbls>
        <c:marker val="1"/>
        <c:smooth val="0"/>
        <c:axId val="625720687"/>
        <c:axId val="625723567"/>
      </c:lineChart>
      <c:catAx>
        <c:axId val="62570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27887"/>
        <c:crosses val="autoZero"/>
        <c:auto val="1"/>
        <c:lblAlgn val="ctr"/>
        <c:lblOffset val="100"/>
        <c:noMultiLvlLbl val="0"/>
      </c:catAx>
      <c:valAx>
        <c:axId val="6257278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01967"/>
        <c:crosses val="autoZero"/>
        <c:crossBetween val="between"/>
        <c:dispUnits>
          <c:builtInUnit val="thousands"/>
        </c:dispUnits>
      </c:valAx>
      <c:valAx>
        <c:axId val="62572356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20687"/>
        <c:crosses val="max"/>
        <c:crossBetween val="between"/>
      </c:valAx>
      <c:catAx>
        <c:axId val="625720687"/>
        <c:scaling>
          <c:orientation val="minMax"/>
        </c:scaling>
        <c:delete val="1"/>
        <c:axPos val="b"/>
        <c:numFmt formatCode="General" sourceLinked="1"/>
        <c:majorTickMark val="out"/>
        <c:minorTickMark val="none"/>
        <c:tickLblPos val="nextTo"/>
        <c:crossAx val="62572356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[DOM_Dashboard.xlsx]analysis!PivotTable8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Repeat vs New Customers by Channel</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analysis!$C$38</c:f>
              <c:strCache>
                <c:ptCount val="1"/>
                <c:pt idx="0">
                  <c:v>all_orders</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analysis!$B$39:$B$42</c:f>
              <c:strCache>
                <c:ptCount val="3"/>
                <c:pt idx="0">
                  <c:v>Website</c:v>
                </c:pt>
                <c:pt idx="1">
                  <c:v>Noon</c:v>
                </c:pt>
                <c:pt idx="2">
                  <c:v>Amazon</c:v>
                </c:pt>
              </c:strCache>
            </c:strRef>
          </c:cat>
          <c:val>
            <c:numRef>
              <c:f>analysis!$C$39:$C$42</c:f>
              <c:numCache>
                <c:formatCode>General</c:formatCode>
                <c:ptCount val="3"/>
                <c:pt idx="0">
                  <c:v>128</c:v>
                </c:pt>
                <c:pt idx="1">
                  <c:v>123</c:v>
                </c:pt>
                <c:pt idx="2">
                  <c:v>118</c:v>
                </c:pt>
              </c:numCache>
            </c:numRef>
          </c:val>
          <c:extLst>
            <c:ext xmlns:c16="http://schemas.microsoft.com/office/drawing/2014/chart" uri="{C3380CC4-5D6E-409C-BE32-E72D297353CC}">
              <c16:uniqueId val="{00000000-6BF4-4618-94EE-6D6886FAF651}"/>
            </c:ext>
          </c:extLst>
        </c:ser>
        <c:ser>
          <c:idx val="1"/>
          <c:order val="1"/>
          <c:tx>
            <c:strRef>
              <c:f>analysis!$D$38</c:f>
              <c:strCache>
                <c:ptCount val="1"/>
                <c:pt idx="0">
                  <c:v>repeat_orders</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analysis!$B$39:$B$42</c:f>
              <c:strCache>
                <c:ptCount val="3"/>
                <c:pt idx="0">
                  <c:v>Website</c:v>
                </c:pt>
                <c:pt idx="1">
                  <c:v>Noon</c:v>
                </c:pt>
                <c:pt idx="2">
                  <c:v>Amazon</c:v>
                </c:pt>
              </c:strCache>
            </c:strRef>
          </c:cat>
          <c:val>
            <c:numRef>
              <c:f>analysis!$D$39:$D$42</c:f>
              <c:numCache>
                <c:formatCode>General</c:formatCode>
                <c:ptCount val="3"/>
                <c:pt idx="0">
                  <c:v>127</c:v>
                </c:pt>
                <c:pt idx="1">
                  <c:v>123</c:v>
                </c:pt>
                <c:pt idx="2">
                  <c:v>118</c:v>
                </c:pt>
              </c:numCache>
            </c:numRef>
          </c:val>
          <c:extLst>
            <c:ext xmlns:c16="http://schemas.microsoft.com/office/drawing/2014/chart" uri="{C3380CC4-5D6E-409C-BE32-E72D297353CC}">
              <c16:uniqueId val="{00000001-6BF4-4618-94EE-6D6886FAF651}"/>
            </c:ext>
          </c:extLst>
        </c:ser>
        <c:dLbls>
          <c:showLegendKey val="0"/>
          <c:showVal val="0"/>
          <c:showCatName val="0"/>
          <c:showSerName val="0"/>
          <c:showPercent val="0"/>
          <c:showBubbleSize val="0"/>
        </c:dLbls>
        <c:gapWidth val="219"/>
        <c:overlap val="-27"/>
        <c:axId val="1373095023"/>
        <c:axId val="1373091183"/>
      </c:barChart>
      <c:catAx>
        <c:axId val="137309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91183"/>
        <c:crosses val="autoZero"/>
        <c:auto val="1"/>
        <c:lblAlgn val="ctr"/>
        <c:lblOffset val="100"/>
        <c:noMultiLvlLbl val="0"/>
      </c:catAx>
      <c:valAx>
        <c:axId val="1373091183"/>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95023"/>
        <c:crosses val="autoZero"/>
        <c:crossBetween val="between"/>
        <c:min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161367</xdr:colOff>
      <xdr:row>16</xdr:row>
      <xdr:rowOff>161361</xdr:rowOff>
    </xdr:from>
    <xdr:to>
      <xdr:col>20</xdr:col>
      <xdr:colOff>134472</xdr:colOff>
      <xdr:row>31</xdr:row>
      <xdr:rowOff>179291</xdr:rowOff>
    </xdr:to>
    <xdr:graphicFrame macro="">
      <xdr:nvGraphicFramePr>
        <xdr:cNvPr id="19" name="Chart 18">
          <a:extLst>
            <a:ext uri="{FF2B5EF4-FFF2-40B4-BE49-F238E27FC236}">
              <a16:creationId xmlns:a16="http://schemas.microsoft.com/office/drawing/2014/main" id="{CC30A2E8-4D30-4B29-8F10-31E52C934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394445</xdr:colOff>
      <xdr:row>0</xdr:row>
      <xdr:rowOff>98610</xdr:rowOff>
    </xdr:from>
    <xdr:to>
      <xdr:col>9</xdr:col>
      <xdr:colOff>456758</xdr:colOff>
      <xdr:row>5</xdr:row>
      <xdr:rowOff>59488</xdr:rowOff>
    </xdr:to>
    <xdr:sp macro="" textlink="">
      <xdr:nvSpPr>
        <xdr:cNvPr id="2" name="Rectangle: Rounded Corners 1">
          <a:extLst>
            <a:ext uri="{FF2B5EF4-FFF2-40B4-BE49-F238E27FC236}">
              <a16:creationId xmlns:a16="http://schemas.microsoft.com/office/drawing/2014/main" id="{9BD1D864-71CF-DDC1-7663-BABDB0AE4535}"/>
            </a:ext>
          </a:extLst>
        </xdr:cNvPr>
        <xdr:cNvSpPr/>
      </xdr:nvSpPr>
      <xdr:spPr>
        <a:xfrm>
          <a:off x="4661645" y="98610"/>
          <a:ext cx="1281513" cy="85734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575085</xdr:colOff>
      <xdr:row>0</xdr:row>
      <xdr:rowOff>90499</xdr:rowOff>
    </xdr:from>
    <xdr:to>
      <xdr:col>12</xdr:col>
      <xdr:colOff>27798</xdr:colOff>
      <xdr:row>5</xdr:row>
      <xdr:rowOff>55708</xdr:rowOff>
    </xdr:to>
    <xdr:sp macro="" textlink="">
      <xdr:nvSpPr>
        <xdr:cNvPr id="3" name="Rectangle: Rounded Corners 2">
          <a:extLst>
            <a:ext uri="{FF2B5EF4-FFF2-40B4-BE49-F238E27FC236}">
              <a16:creationId xmlns:a16="http://schemas.microsoft.com/office/drawing/2014/main" id="{54B91B05-E7F4-452E-844F-E9FAB47096D6}"/>
            </a:ext>
          </a:extLst>
        </xdr:cNvPr>
        <xdr:cNvSpPr/>
      </xdr:nvSpPr>
      <xdr:spPr>
        <a:xfrm>
          <a:off x="6061485" y="90499"/>
          <a:ext cx="1281513" cy="86168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146125</xdr:colOff>
      <xdr:row>0</xdr:row>
      <xdr:rowOff>98610</xdr:rowOff>
    </xdr:from>
    <xdr:to>
      <xdr:col>14</xdr:col>
      <xdr:colOff>208438</xdr:colOff>
      <xdr:row>5</xdr:row>
      <xdr:rowOff>59488</xdr:rowOff>
    </xdr:to>
    <xdr:sp macro="" textlink="">
      <xdr:nvSpPr>
        <xdr:cNvPr id="4" name="Rectangle: Rounded Corners 3">
          <a:extLst>
            <a:ext uri="{FF2B5EF4-FFF2-40B4-BE49-F238E27FC236}">
              <a16:creationId xmlns:a16="http://schemas.microsoft.com/office/drawing/2014/main" id="{2364A376-BAD9-4BE3-A3B9-D2643905338B}"/>
            </a:ext>
          </a:extLst>
        </xdr:cNvPr>
        <xdr:cNvSpPr/>
      </xdr:nvSpPr>
      <xdr:spPr>
        <a:xfrm>
          <a:off x="7461325" y="98610"/>
          <a:ext cx="1281513" cy="85734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335730</xdr:colOff>
      <xdr:row>0</xdr:row>
      <xdr:rowOff>90499</xdr:rowOff>
    </xdr:from>
    <xdr:to>
      <xdr:col>16</xdr:col>
      <xdr:colOff>398043</xdr:colOff>
      <xdr:row>5</xdr:row>
      <xdr:rowOff>55708</xdr:rowOff>
    </xdr:to>
    <xdr:sp macro="" textlink="">
      <xdr:nvSpPr>
        <xdr:cNvPr id="5" name="Rectangle: Rounded Corners 4">
          <a:extLst>
            <a:ext uri="{FF2B5EF4-FFF2-40B4-BE49-F238E27FC236}">
              <a16:creationId xmlns:a16="http://schemas.microsoft.com/office/drawing/2014/main" id="{4DD3946F-B2CA-4E86-805E-6199DB688371}"/>
            </a:ext>
          </a:extLst>
        </xdr:cNvPr>
        <xdr:cNvSpPr/>
      </xdr:nvSpPr>
      <xdr:spPr>
        <a:xfrm>
          <a:off x="8870130" y="90499"/>
          <a:ext cx="1281513" cy="86168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515025</xdr:colOff>
      <xdr:row>0</xdr:row>
      <xdr:rowOff>90499</xdr:rowOff>
    </xdr:from>
    <xdr:to>
      <xdr:col>18</xdr:col>
      <xdr:colOff>577338</xdr:colOff>
      <xdr:row>5</xdr:row>
      <xdr:rowOff>55708</xdr:rowOff>
    </xdr:to>
    <xdr:sp macro="" textlink="">
      <xdr:nvSpPr>
        <xdr:cNvPr id="6" name="Rectangle: Rounded Corners 5">
          <a:extLst>
            <a:ext uri="{FF2B5EF4-FFF2-40B4-BE49-F238E27FC236}">
              <a16:creationId xmlns:a16="http://schemas.microsoft.com/office/drawing/2014/main" id="{7EE7930E-96D9-4B1C-9869-DAB86310C396}"/>
            </a:ext>
          </a:extLst>
        </xdr:cNvPr>
        <xdr:cNvSpPr/>
      </xdr:nvSpPr>
      <xdr:spPr>
        <a:xfrm>
          <a:off x="10268625" y="90499"/>
          <a:ext cx="1281513" cy="86168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385483</xdr:colOff>
      <xdr:row>0</xdr:row>
      <xdr:rowOff>143433</xdr:rowOff>
    </xdr:from>
    <xdr:to>
      <xdr:col>9</xdr:col>
      <xdr:colOff>448235</xdr:colOff>
      <xdr:row>2</xdr:row>
      <xdr:rowOff>125504</xdr:rowOff>
    </xdr:to>
    <xdr:sp macro="" textlink="">
      <xdr:nvSpPr>
        <xdr:cNvPr id="7" name="TextBox 6">
          <a:extLst>
            <a:ext uri="{FF2B5EF4-FFF2-40B4-BE49-F238E27FC236}">
              <a16:creationId xmlns:a16="http://schemas.microsoft.com/office/drawing/2014/main" id="{CED4A1D4-E165-7D36-2C70-EE26076620A4}"/>
            </a:ext>
          </a:extLst>
        </xdr:cNvPr>
        <xdr:cNvSpPr txBox="1"/>
      </xdr:nvSpPr>
      <xdr:spPr>
        <a:xfrm>
          <a:off x="4652683" y="143433"/>
          <a:ext cx="1281952"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 Revenue</a:t>
          </a:r>
        </a:p>
      </xdr:txBody>
    </xdr:sp>
    <xdr:clientData/>
  </xdr:twoCellAnchor>
  <xdr:twoCellAnchor>
    <xdr:from>
      <xdr:col>9</xdr:col>
      <xdr:colOff>564777</xdr:colOff>
      <xdr:row>0</xdr:row>
      <xdr:rowOff>134469</xdr:rowOff>
    </xdr:from>
    <xdr:to>
      <xdr:col>12</xdr:col>
      <xdr:colOff>17929</xdr:colOff>
      <xdr:row>2</xdr:row>
      <xdr:rowOff>116540</xdr:rowOff>
    </xdr:to>
    <xdr:sp macro="" textlink="">
      <xdr:nvSpPr>
        <xdr:cNvPr id="8" name="TextBox 7">
          <a:extLst>
            <a:ext uri="{FF2B5EF4-FFF2-40B4-BE49-F238E27FC236}">
              <a16:creationId xmlns:a16="http://schemas.microsoft.com/office/drawing/2014/main" id="{2D89092E-0E94-4109-8D17-8F8DC5E6A0C4}"/>
            </a:ext>
          </a:extLst>
        </xdr:cNvPr>
        <xdr:cNvSpPr txBox="1"/>
      </xdr:nvSpPr>
      <xdr:spPr>
        <a:xfrm>
          <a:off x="6051177" y="134469"/>
          <a:ext cx="1281952"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 Profit</a:t>
          </a:r>
        </a:p>
      </xdr:txBody>
    </xdr:sp>
    <xdr:clientData/>
  </xdr:twoCellAnchor>
  <xdr:twoCellAnchor>
    <xdr:from>
      <xdr:col>12</xdr:col>
      <xdr:colOff>134471</xdr:colOff>
      <xdr:row>0</xdr:row>
      <xdr:rowOff>143429</xdr:rowOff>
    </xdr:from>
    <xdr:to>
      <xdr:col>14</xdr:col>
      <xdr:colOff>197223</xdr:colOff>
      <xdr:row>2</xdr:row>
      <xdr:rowOff>125500</xdr:rowOff>
    </xdr:to>
    <xdr:sp macro="" textlink="">
      <xdr:nvSpPr>
        <xdr:cNvPr id="9" name="TextBox 8">
          <a:extLst>
            <a:ext uri="{FF2B5EF4-FFF2-40B4-BE49-F238E27FC236}">
              <a16:creationId xmlns:a16="http://schemas.microsoft.com/office/drawing/2014/main" id="{E61721F9-B2A6-4B0F-B9AE-2B6018FEA4AD}"/>
            </a:ext>
          </a:extLst>
        </xdr:cNvPr>
        <xdr:cNvSpPr txBox="1"/>
      </xdr:nvSpPr>
      <xdr:spPr>
        <a:xfrm>
          <a:off x="7449671" y="143429"/>
          <a:ext cx="1281952"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 Orders</a:t>
          </a:r>
        </a:p>
      </xdr:txBody>
    </xdr:sp>
    <xdr:clientData/>
  </xdr:twoCellAnchor>
  <xdr:twoCellAnchor>
    <xdr:from>
      <xdr:col>14</xdr:col>
      <xdr:colOff>322730</xdr:colOff>
      <xdr:row>0</xdr:row>
      <xdr:rowOff>134464</xdr:rowOff>
    </xdr:from>
    <xdr:to>
      <xdr:col>16</xdr:col>
      <xdr:colOff>385482</xdr:colOff>
      <xdr:row>2</xdr:row>
      <xdr:rowOff>116535</xdr:rowOff>
    </xdr:to>
    <xdr:sp macro="" textlink="">
      <xdr:nvSpPr>
        <xdr:cNvPr id="10" name="TextBox 9">
          <a:extLst>
            <a:ext uri="{FF2B5EF4-FFF2-40B4-BE49-F238E27FC236}">
              <a16:creationId xmlns:a16="http://schemas.microsoft.com/office/drawing/2014/main" id="{1BB68D89-DBDF-46E1-BEBC-AD1E18AB3052}"/>
            </a:ext>
          </a:extLst>
        </xdr:cNvPr>
        <xdr:cNvSpPr txBox="1"/>
      </xdr:nvSpPr>
      <xdr:spPr>
        <a:xfrm>
          <a:off x="8857130" y="134464"/>
          <a:ext cx="1281952"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Margin %</a:t>
          </a:r>
        </a:p>
      </xdr:txBody>
    </xdr:sp>
    <xdr:clientData/>
  </xdr:twoCellAnchor>
  <xdr:twoCellAnchor>
    <xdr:from>
      <xdr:col>16</xdr:col>
      <xdr:colOff>510989</xdr:colOff>
      <xdr:row>0</xdr:row>
      <xdr:rowOff>134459</xdr:rowOff>
    </xdr:from>
    <xdr:to>
      <xdr:col>18</xdr:col>
      <xdr:colOff>573741</xdr:colOff>
      <xdr:row>2</xdr:row>
      <xdr:rowOff>116530</xdr:rowOff>
    </xdr:to>
    <xdr:sp macro="" textlink="">
      <xdr:nvSpPr>
        <xdr:cNvPr id="11" name="TextBox 10">
          <a:extLst>
            <a:ext uri="{FF2B5EF4-FFF2-40B4-BE49-F238E27FC236}">
              <a16:creationId xmlns:a16="http://schemas.microsoft.com/office/drawing/2014/main" id="{AB58A938-E190-4C15-8363-66E843161C72}"/>
            </a:ext>
          </a:extLst>
        </xdr:cNvPr>
        <xdr:cNvSpPr txBox="1"/>
      </xdr:nvSpPr>
      <xdr:spPr>
        <a:xfrm>
          <a:off x="10264589" y="134459"/>
          <a:ext cx="1281952"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Repeat</a:t>
          </a:r>
          <a:r>
            <a:rPr lang="en-IN" sz="1100" b="1" baseline="0">
              <a:solidFill>
                <a:schemeClr val="bg1"/>
              </a:solidFill>
            </a:rPr>
            <a:t> %</a:t>
          </a:r>
          <a:endParaRPr lang="en-IN" sz="1100" b="1">
            <a:solidFill>
              <a:schemeClr val="bg1"/>
            </a:solidFill>
          </a:endParaRPr>
        </a:p>
      </xdr:txBody>
    </xdr:sp>
    <xdr:clientData/>
  </xdr:twoCellAnchor>
  <xdr:twoCellAnchor>
    <xdr:from>
      <xdr:col>7</xdr:col>
      <xdr:colOff>385478</xdr:colOff>
      <xdr:row>1</xdr:row>
      <xdr:rowOff>161362</xdr:rowOff>
    </xdr:from>
    <xdr:to>
      <xdr:col>9</xdr:col>
      <xdr:colOff>448230</xdr:colOff>
      <xdr:row>4</xdr:row>
      <xdr:rowOff>152397</xdr:rowOff>
    </xdr:to>
    <xdr:sp macro="" textlink="analysis!H2">
      <xdr:nvSpPr>
        <xdr:cNvPr id="12" name="TextBox 11">
          <a:extLst>
            <a:ext uri="{FF2B5EF4-FFF2-40B4-BE49-F238E27FC236}">
              <a16:creationId xmlns:a16="http://schemas.microsoft.com/office/drawing/2014/main" id="{C3EEE49E-DD17-477B-8DE9-CB017D03ECF7}"/>
            </a:ext>
          </a:extLst>
        </xdr:cNvPr>
        <xdr:cNvSpPr txBox="1"/>
      </xdr:nvSpPr>
      <xdr:spPr>
        <a:xfrm>
          <a:off x="4652678" y="340656"/>
          <a:ext cx="1281952" cy="528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797D14-D0D7-4F76-8282-6E87AF68646F}" type="TxLink">
            <a:rPr lang="en-US" sz="1200" b="1" i="0" u="none" strike="noStrike">
              <a:solidFill>
                <a:schemeClr val="bg1"/>
              </a:solidFill>
              <a:latin typeface="Calibri"/>
              <a:ea typeface="Calibri"/>
              <a:cs typeface="Calibri"/>
            </a:rPr>
            <a:pPr algn="ctr"/>
            <a:t>AED 2,87,436.10</a:t>
          </a:fld>
          <a:endParaRPr lang="en-IN" sz="1200" b="1">
            <a:solidFill>
              <a:schemeClr val="bg1"/>
            </a:solidFill>
          </a:endParaRPr>
        </a:p>
      </xdr:txBody>
    </xdr:sp>
    <xdr:clientData/>
  </xdr:twoCellAnchor>
  <xdr:twoCellAnchor>
    <xdr:from>
      <xdr:col>9</xdr:col>
      <xdr:colOff>564772</xdr:colOff>
      <xdr:row>1</xdr:row>
      <xdr:rowOff>152398</xdr:rowOff>
    </xdr:from>
    <xdr:to>
      <xdr:col>12</xdr:col>
      <xdr:colOff>17924</xdr:colOff>
      <xdr:row>4</xdr:row>
      <xdr:rowOff>143433</xdr:rowOff>
    </xdr:to>
    <xdr:sp macro="" textlink="analysis!J2">
      <xdr:nvSpPr>
        <xdr:cNvPr id="13" name="TextBox 12">
          <a:extLst>
            <a:ext uri="{FF2B5EF4-FFF2-40B4-BE49-F238E27FC236}">
              <a16:creationId xmlns:a16="http://schemas.microsoft.com/office/drawing/2014/main" id="{C1673EE8-DC4E-4CDB-8587-2947A390937F}"/>
            </a:ext>
          </a:extLst>
        </xdr:cNvPr>
        <xdr:cNvSpPr txBox="1"/>
      </xdr:nvSpPr>
      <xdr:spPr>
        <a:xfrm>
          <a:off x="6051172" y="331692"/>
          <a:ext cx="1281952" cy="528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2E7A4A-564E-4034-9D2B-67DCC03566C0}" type="TxLink">
            <a:rPr lang="en-US" sz="1200" b="1" i="0" u="none" strike="noStrike">
              <a:solidFill>
                <a:schemeClr val="bg1"/>
              </a:solidFill>
              <a:latin typeface="Calibri"/>
              <a:ea typeface="Calibri"/>
              <a:cs typeface="Calibri"/>
            </a:rPr>
            <a:pPr algn="ctr"/>
            <a:t>AED 1,14,457.10</a:t>
          </a:fld>
          <a:endParaRPr lang="en-IN" sz="1200" b="1">
            <a:solidFill>
              <a:schemeClr val="bg1"/>
            </a:solidFill>
          </a:endParaRPr>
        </a:p>
      </xdr:txBody>
    </xdr:sp>
    <xdr:clientData/>
  </xdr:twoCellAnchor>
  <xdr:twoCellAnchor>
    <xdr:from>
      <xdr:col>12</xdr:col>
      <xdr:colOff>134466</xdr:colOff>
      <xdr:row>1</xdr:row>
      <xdr:rowOff>161358</xdr:rowOff>
    </xdr:from>
    <xdr:to>
      <xdr:col>14</xdr:col>
      <xdr:colOff>197218</xdr:colOff>
      <xdr:row>4</xdr:row>
      <xdr:rowOff>152393</xdr:rowOff>
    </xdr:to>
    <xdr:sp macro="" textlink="analysis!I2">
      <xdr:nvSpPr>
        <xdr:cNvPr id="14" name="TextBox 13">
          <a:extLst>
            <a:ext uri="{FF2B5EF4-FFF2-40B4-BE49-F238E27FC236}">
              <a16:creationId xmlns:a16="http://schemas.microsoft.com/office/drawing/2014/main" id="{42469091-E7FE-4693-A2C7-1BE1634483C4}"/>
            </a:ext>
          </a:extLst>
        </xdr:cNvPr>
        <xdr:cNvSpPr txBox="1"/>
      </xdr:nvSpPr>
      <xdr:spPr>
        <a:xfrm>
          <a:off x="7449666" y="340652"/>
          <a:ext cx="1281952" cy="528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C28F8E-16E6-451B-A78C-CB61E1B77C55}" type="TxLink">
            <a:rPr lang="en-US" sz="1200" b="1" i="0" u="none" strike="noStrike">
              <a:solidFill>
                <a:schemeClr val="bg1"/>
              </a:solidFill>
              <a:latin typeface="Calibri"/>
              <a:ea typeface="Calibri"/>
              <a:cs typeface="Calibri"/>
            </a:rPr>
            <a:pPr algn="ctr"/>
            <a:t>490</a:t>
          </a:fld>
          <a:endParaRPr lang="en-IN" sz="1200" b="1">
            <a:solidFill>
              <a:schemeClr val="bg1"/>
            </a:solidFill>
          </a:endParaRPr>
        </a:p>
      </xdr:txBody>
    </xdr:sp>
    <xdr:clientData/>
  </xdr:twoCellAnchor>
  <xdr:twoCellAnchor>
    <xdr:from>
      <xdr:col>14</xdr:col>
      <xdr:colOff>322725</xdr:colOff>
      <xdr:row>1</xdr:row>
      <xdr:rowOff>152393</xdr:rowOff>
    </xdr:from>
    <xdr:to>
      <xdr:col>16</xdr:col>
      <xdr:colOff>385477</xdr:colOff>
      <xdr:row>4</xdr:row>
      <xdr:rowOff>143428</xdr:rowOff>
    </xdr:to>
    <xdr:sp macro="" textlink="analysis!K2">
      <xdr:nvSpPr>
        <xdr:cNvPr id="15" name="TextBox 14">
          <a:extLst>
            <a:ext uri="{FF2B5EF4-FFF2-40B4-BE49-F238E27FC236}">
              <a16:creationId xmlns:a16="http://schemas.microsoft.com/office/drawing/2014/main" id="{4DB3DDA0-1724-42D1-A6AB-B22C7DBDD469}"/>
            </a:ext>
          </a:extLst>
        </xdr:cNvPr>
        <xdr:cNvSpPr txBox="1"/>
      </xdr:nvSpPr>
      <xdr:spPr>
        <a:xfrm>
          <a:off x="8857125" y="331687"/>
          <a:ext cx="1281952" cy="528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C3E25B-E1A2-4CBF-ADC7-E62AF5EE6FFA}" type="TxLink">
            <a:rPr lang="en-US" sz="1200" b="1" i="0" u="none" strike="noStrike">
              <a:solidFill>
                <a:schemeClr val="bg1"/>
              </a:solidFill>
              <a:latin typeface="Calibri"/>
              <a:ea typeface="Calibri"/>
              <a:cs typeface="Calibri"/>
            </a:rPr>
            <a:pPr algn="ctr"/>
            <a:t>39.82</a:t>
          </a:fld>
          <a:endParaRPr lang="en-IN" sz="1200" b="1">
            <a:solidFill>
              <a:schemeClr val="bg1"/>
            </a:solidFill>
          </a:endParaRPr>
        </a:p>
      </xdr:txBody>
    </xdr:sp>
    <xdr:clientData/>
  </xdr:twoCellAnchor>
  <xdr:twoCellAnchor>
    <xdr:from>
      <xdr:col>16</xdr:col>
      <xdr:colOff>510984</xdr:colOff>
      <xdr:row>1</xdr:row>
      <xdr:rowOff>152388</xdr:rowOff>
    </xdr:from>
    <xdr:to>
      <xdr:col>18</xdr:col>
      <xdr:colOff>573736</xdr:colOff>
      <xdr:row>4</xdr:row>
      <xdr:rowOff>143423</xdr:rowOff>
    </xdr:to>
    <xdr:sp macro="" textlink="analysis!L2">
      <xdr:nvSpPr>
        <xdr:cNvPr id="16" name="TextBox 15">
          <a:extLst>
            <a:ext uri="{FF2B5EF4-FFF2-40B4-BE49-F238E27FC236}">
              <a16:creationId xmlns:a16="http://schemas.microsoft.com/office/drawing/2014/main" id="{37F34FE5-2355-4C99-B300-9449AC5FBA4C}"/>
            </a:ext>
          </a:extLst>
        </xdr:cNvPr>
        <xdr:cNvSpPr txBox="1"/>
      </xdr:nvSpPr>
      <xdr:spPr>
        <a:xfrm>
          <a:off x="10264584" y="331682"/>
          <a:ext cx="1281952" cy="528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22AB22-8797-4DC1-8A27-554EFEADE962}" type="TxLink">
            <a:rPr lang="en-US" sz="1200" b="1" i="0" u="none" strike="noStrike">
              <a:solidFill>
                <a:schemeClr val="bg1"/>
              </a:solidFill>
              <a:latin typeface="Calibri"/>
              <a:ea typeface="Calibri"/>
              <a:cs typeface="Calibri"/>
            </a:rPr>
            <a:pPr algn="ctr"/>
            <a:t>99.11</a:t>
          </a:fld>
          <a:endParaRPr lang="en-IN" sz="1200" b="1">
            <a:solidFill>
              <a:schemeClr val="bg1"/>
            </a:solidFill>
          </a:endParaRPr>
        </a:p>
      </xdr:txBody>
    </xdr:sp>
    <xdr:clientData/>
  </xdr:twoCellAnchor>
  <xdr:twoCellAnchor>
    <xdr:from>
      <xdr:col>17</xdr:col>
      <xdr:colOff>484096</xdr:colOff>
      <xdr:row>5</xdr:row>
      <xdr:rowOff>179293</xdr:rowOff>
    </xdr:from>
    <xdr:to>
      <xdr:col>26</xdr:col>
      <xdr:colOff>286872</xdr:colOff>
      <xdr:row>16</xdr:row>
      <xdr:rowOff>80679</xdr:rowOff>
    </xdr:to>
    <xdr:graphicFrame macro="">
      <xdr:nvGraphicFramePr>
        <xdr:cNvPr id="17" name="Chart 16">
          <a:extLst>
            <a:ext uri="{FF2B5EF4-FFF2-40B4-BE49-F238E27FC236}">
              <a16:creationId xmlns:a16="http://schemas.microsoft.com/office/drawing/2014/main" id="{A0BD5439-1E5B-4582-8E0B-D37EC941C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152401</xdr:colOff>
      <xdr:row>5</xdr:row>
      <xdr:rowOff>179288</xdr:rowOff>
    </xdr:from>
    <xdr:to>
      <xdr:col>8</xdr:col>
      <xdr:colOff>556483</xdr:colOff>
      <xdr:row>16</xdr:row>
      <xdr:rowOff>80678</xdr:rowOff>
    </xdr:to>
    <xdr:graphicFrame macro="">
      <xdr:nvGraphicFramePr>
        <xdr:cNvPr id="18" name="Chart 17">
          <a:extLst>
            <a:ext uri="{FF2B5EF4-FFF2-40B4-BE49-F238E27FC236}">
              <a16:creationId xmlns:a16="http://schemas.microsoft.com/office/drawing/2014/main" id="{DF041B74-0DB3-4CBC-B1D2-EC3812358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8962</xdr:colOff>
      <xdr:row>6</xdr:row>
      <xdr:rowOff>0</xdr:rowOff>
    </xdr:from>
    <xdr:to>
      <xdr:col>17</xdr:col>
      <xdr:colOff>421342</xdr:colOff>
      <xdr:row>16</xdr:row>
      <xdr:rowOff>89647</xdr:rowOff>
    </xdr:to>
    <xdr:graphicFrame macro="">
      <xdr:nvGraphicFramePr>
        <xdr:cNvPr id="20" name="Chart 19">
          <a:extLst>
            <a:ext uri="{FF2B5EF4-FFF2-40B4-BE49-F238E27FC236}">
              <a16:creationId xmlns:a16="http://schemas.microsoft.com/office/drawing/2014/main" id="{3B15735C-48B2-4FBF-BA3C-9C33486FD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227704</xdr:colOff>
      <xdr:row>16</xdr:row>
      <xdr:rowOff>158227</xdr:rowOff>
    </xdr:from>
    <xdr:to>
      <xdr:col>23</xdr:col>
      <xdr:colOff>197227</xdr:colOff>
      <xdr:row>23</xdr:row>
      <xdr:rowOff>44823</xdr:rowOff>
    </xdr:to>
    <mc:AlternateContent xmlns:mc="http://schemas.openxmlformats.org/markup-compatibility/2006" xmlns:a14="http://schemas.microsoft.com/office/drawing/2010/main">
      <mc:Choice Requires="a14">
        <xdr:graphicFrame macro="">
          <xdr:nvGraphicFramePr>
            <xdr:cNvPr id="21" name="channel">
              <a:extLst>
                <a:ext uri="{FF2B5EF4-FFF2-40B4-BE49-F238E27FC236}">
                  <a16:creationId xmlns:a16="http://schemas.microsoft.com/office/drawing/2014/main" id="{9A6A7580-811E-3BC7-CD0F-F20B1B626D4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2419704" y="3026933"/>
              <a:ext cx="1798323" cy="1141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277907</xdr:colOff>
      <xdr:row>16</xdr:row>
      <xdr:rowOff>149261</xdr:rowOff>
    </xdr:from>
    <xdr:to>
      <xdr:col>26</xdr:col>
      <xdr:colOff>295839</xdr:colOff>
      <xdr:row>23</xdr:row>
      <xdr:rowOff>44823</xdr:rowOff>
    </xdr:to>
    <mc:AlternateContent xmlns:mc="http://schemas.openxmlformats.org/markup-compatibility/2006" xmlns:a14="http://schemas.microsoft.com/office/drawing/2010/main">
      <mc:Choice Requires="a14">
        <xdr:graphicFrame macro="">
          <xdr:nvGraphicFramePr>
            <xdr:cNvPr id="22" name="segment">
              <a:extLst>
                <a:ext uri="{FF2B5EF4-FFF2-40B4-BE49-F238E27FC236}">
                  <a16:creationId xmlns:a16="http://schemas.microsoft.com/office/drawing/2014/main" id="{5C19E2E9-A06F-567B-F3E3-2924E37A66C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298707" y="3017967"/>
              <a:ext cx="1846732" cy="1150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226357</xdr:colOff>
      <xdr:row>23</xdr:row>
      <xdr:rowOff>125506</xdr:rowOff>
    </xdr:from>
    <xdr:to>
      <xdr:col>26</xdr:col>
      <xdr:colOff>295834</xdr:colOff>
      <xdr:row>31</xdr:row>
      <xdr:rowOff>163157</xdr:rowOff>
    </xdr:to>
    <mc:AlternateContent xmlns:mc="http://schemas.openxmlformats.org/markup-compatibility/2006" xmlns:tsle="http://schemas.microsoft.com/office/drawing/2012/timeslicer">
      <mc:Choice Requires="tsle">
        <xdr:graphicFrame macro="">
          <xdr:nvGraphicFramePr>
            <xdr:cNvPr id="23" name="order_date">
              <a:extLst>
                <a:ext uri="{FF2B5EF4-FFF2-40B4-BE49-F238E27FC236}">
                  <a16:creationId xmlns:a16="http://schemas.microsoft.com/office/drawing/2014/main" id="{1109C7F2-64E4-0583-313F-7372E50F669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418357" y="4249271"/>
              <a:ext cx="3727077" cy="14720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44821</xdr:colOff>
      <xdr:row>2</xdr:row>
      <xdr:rowOff>0</xdr:rowOff>
    </xdr:from>
    <xdr:to>
      <xdr:col>2</xdr:col>
      <xdr:colOff>502021</xdr:colOff>
      <xdr:row>3</xdr:row>
      <xdr:rowOff>170330</xdr:rowOff>
    </xdr:to>
    <xdr:sp macro="" textlink="">
      <xdr:nvSpPr>
        <xdr:cNvPr id="24" name="TextBox 23">
          <a:extLst>
            <a:ext uri="{FF2B5EF4-FFF2-40B4-BE49-F238E27FC236}">
              <a16:creationId xmlns:a16="http://schemas.microsoft.com/office/drawing/2014/main" id="{89BC14AB-4DF2-EEEA-7468-BFA2D9DA4BFE}"/>
            </a:ext>
          </a:extLst>
        </xdr:cNvPr>
        <xdr:cNvSpPr txBox="1"/>
      </xdr:nvSpPr>
      <xdr:spPr>
        <a:xfrm>
          <a:off x="44821" y="358588"/>
          <a:ext cx="1676400"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solidFill>
            </a:rPr>
            <a:t>Dubai Online</a:t>
          </a:r>
          <a:r>
            <a:rPr lang="en-IN" sz="1500" b="1" baseline="0">
              <a:solidFill>
                <a:schemeClr val="bg1"/>
              </a:solidFill>
            </a:rPr>
            <a:t> Mart</a:t>
          </a:r>
          <a:endParaRPr lang="en-IN" sz="15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tfire Asus A15" refreshedDate="46086.891557523151" createdVersion="8" refreshedVersion="8" minRefreshableVersion="3" recordCount="490" xr:uid="{4F64C590-3127-4A62-B342-BC3D5740FBC7}">
  <cacheSource type="worksheet">
    <worksheetSource name="orders"/>
  </cacheSource>
  <cacheFields count="27">
    <cacheField name="Source.Name" numFmtId="0">
      <sharedItems/>
    </cacheField>
    <cacheField name="channel" numFmtId="0">
      <sharedItems count="3">
        <s v="Website"/>
        <s v="Noon"/>
        <s v="Amazon"/>
      </sharedItems>
    </cacheField>
    <cacheField name="order_id" numFmtId="0">
      <sharedItems/>
    </cacheField>
    <cacheField name="order_date" numFmtId="14">
      <sharedItems containsSemiMixedTypes="0" containsNonDate="0" containsDate="1" containsString="0" minDate="2025-01-01T00:00:00" maxDate="2025-04-01T00:00:00" count="90">
        <d v="2025-02-01T00:00:00"/>
        <d v="2025-02-06T00:00:00"/>
        <d v="2025-02-08T00:00:00"/>
        <d v="2025-02-09T00:00:00"/>
        <d v="2025-02-02T00:00:00"/>
        <d v="2025-02-07T00:00:00"/>
        <d v="2025-02-03T00:00:00"/>
        <d v="2025-02-11T00:00:00"/>
        <d v="2025-02-04T00:00:00"/>
        <d v="2025-02-10T00:00:00"/>
        <d v="2025-02-05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sharedItems>
    </cacheField>
    <cacheField name="customer_id" numFmtId="0">
      <sharedItems count="20">
        <s v="CUS-1021"/>
        <s v="CUS-1047"/>
        <s v="CUS-1200"/>
        <s v="CUS-1083"/>
        <s v="CUS-1301"/>
        <s v="CUS-1055"/>
        <s v="CUS-1102"/>
        <s v="Guest"/>
        <s v="CUS-1078"/>
        <s v="CUS-1134"/>
        <s v="CUS-1302"/>
        <s v="CUS-9999"/>
        <s v="CUS-1401"/>
        <s v="CUS-1155"/>
        <s v="CUS-1190"/>
        <s v="CUS-1303"/>
        <s v="CUS-1402"/>
        <s v="CUS-1304"/>
        <s v="CUS-1240"/>
        <s v="CUS-1403"/>
      </sharedItems>
    </cacheField>
    <cacheField name="customer_email" numFmtId="0">
      <sharedItems/>
    </cacheField>
    <cacheField name="sku" numFmtId="0">
      <sharedItems/>
    </cacheField>
    <cacheField name="quantity" numFmtId="0">
      <sharedItems containsSemiMixedTypes="0" containsString="0" containsNumber="1" containsInteger="1" minValue="1" maxValue="6"/>
    </cacheField>
    <cacheField name="unit_price" numFmtId="0">
      <sharedItems containsSemiMixedTypes="0" containsString="0" containsNumber="1" containsInteger="1" minValue="19" maxValue="2199"/>
    </cacheField>
    <cacheField name="discount_amount" numFmtId="0">
      <sharedItems containsSemiMixedTypes="0" containsString="0" containsNumber="1" minValue="0" maxValue="220"/>
    </cacheField>
    <cacheField name="status" numFmtId="0">
      <sharedItems/>
    </cacheField>
    <cacheField name="city" numFmtId="0">
      <sharedItems count="5">
        <s v="Dubai"/>
        <s v="Sharjah"/>
        <s v="Unknown"/>
        <s v="Abu Dhabi"/>
        <s v="Ajman"/>
      </sharedItems>
    </cacheField>
    <cacheField name="segment" numFmtId="0">
      <sharedItems count="4">
        <s v="VIP"/>
        <s v="Returning"/>
        <s v="New"/>
        <s v="Guest"/>
      </sharedItems>
    </cacheField>
    <cacheField name="registration_date" numFmtId="14">
      <sharedItems containsNonDate="0" containsDate="1" containsString="0" containsBlank="1" minDate="2022-03-15T00:00:00" maxDate="2025-02-02T00:00:00"/>
    </cacheField>
    <cacheField name="product_name" numFmtId="0">
      <sharedItems count="16">
        <s v="Samsung 65&quot; Crystal UHD TV"/>
        <s v="Glad Garbage Bags Large (30-pack)"/>
        <s v="Anker PowerCore 20000 Power Bank"/>
        <s v="iRobot Roomba i3 Robot Vacuum"/>
        <s v="Dyson V8 Cordless Vacuum"/>
        <s v="Fitbit Inspire 3"/>
        <s v="Apple iPad 10th Gen 64GB"/>
        <s v="Tefal Easy Fry Deluxe"/>
        <s v="Philips Air Fryer 4.1L"/>
        <s v="JBL Flip 6 Portable Speaker"/>
        <s v="3M Command Adhesive Strips (Pack of 12)"/>
        <s v="Scotch Brite Heavy Duty Scrub (6-pack)"/>
        <s v="Sony WH-1000XM5 Headphones"/>
        <s v="LG 55&quot; OLED C3 TV"/>
        <s v="Xiaomi Mi Band 8"/>
        <s v="Yankee Candle Large Jar (Vanilla)"/>
      </sharedItems>
    </cacheField>
    <cacheField name="category" numFmtId="0">
      <sharedItems count="3">
        <s v="Electronics"/>
        <s v="Home"/>
        <s v="Home Appliances"/>
      </sharedItems>
    </cacheField>
    <cacheField name="subcategory" numFmtId="0">
      <sharedItems/>
    </cacheField>
    <cacheField name="cost_price" numFmtId="0">
      <sharedItems containsSemiMixedTypes="0" containsString="0" containsNumber="1" containsInteger="1" minValue="8" maxValue="1380"/>
    </cacheField>
    <cacheField name="net_revenue" numFmtId="0">
      <sharedItems containsSemiMixedTypes="0" containsString="0" containsNumber="1" minValue="45" maxValue="2199"/>
    </cacheField>
    <cacheField name="profit" numFmtId="0">
      <sharedItems containsSemiMixedTypes="0" containsString="0" containsNumber="1" minValue="27" maxValue="819"/>
    </cacheField>
    <cacheField name="margin" numFmtId="2">
      <sharedItems containsSemiMixedTypes="0" containsString="0" containsNumber="1" minValue="27.299703264094955" maxValue="62.068965517241381"/>
    </cacheField>
    <cacheField name="order_month" numFmtId="0">
      <sharedItems/>
    </cacheField>
    <cacheField name="order_count" numFmtId="0">
      <sharedItems containsSemiMixedTypes="0" containsString="0" containsNumber="1" containsInteger="1" minValue="1" maxValue="1"/>
    </cacheField>
    <cacheField name="total_orders" numFmtId="0">
      <sharedItems containsString="0" containsBlank="1" containsNumber="1" containsInteger="1" minValue="1" maxValue="52"/>
    </cacheField>
    <cacheField name="is_repeat" numFmtId="0">
      <sharedItems containsString="0" containsBlank="1" containsNumber="1" containsInteger="1" minValue="0" maxValue="1"/>
    </cacheField>
    <cacheField name="aov" numFmtId="0" formula="net_revenue/order_count" databaseField="0"/>
    <cacheField name="avg_margin" numFmtId="0" formula=" (profit/net_revenue)*100" databaseField="0"/>
  </cacheFields>
  <extLst>
    <ext xmlns:x14="http://schemas.microsoft.com/office/spreadsheetml/2009/9/main" uri="{725AE2AE-9491-48be-B2B4-4EB974FC3084}">
      <x14:pivotCacheDefinition pivotCacheId="1805925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s v="website_sales_feb_2025.csv"/>
    <x v="0"/>
    <s v="W-10097"/>
    <x v="0"/>
    <x v="0"/>
    <s v="ahmed.almarzouqi@gmail.com"/>
    <s v="SKU4401"/>
    <n v="1"/>
    <n v="1299"/>
    <n v="130"/>
    <s v="Completed"/>
    <x v="0"/>
    <x v="0"/>
    <d v="2022-03-15T00:00:00"/>
    <x v="0"/>
    <x v="0"/>
    <s v="TVs"/>
    <n v="820"/>
    <n v="1169"/>
    <n v="349"/>
    <n v="29.854576561163388"/>
    <s v="February"/>
    <n v="1"/>
    <n v="52"/>
    <n v="1"/>
  </r>
  <r>
    <s v="website_sales_feb_2025.csv"/>
    <x v="0"/>
    <s v="W-10108"/>
    <x v="1"/>
    <x v="0"/>
    <s v="ahmed.almarzouqi@gmail.com"/>
    <s v="SKU3301"/>
    <n v="5"/>
    <n v="19"/>
    <n v="0"/>
    <s v="Completed"/>
    <x v="0"/>
    <x v="0"/>
    <d v="2022-03-15T00:00:00"/>
    <x v="1"/>
    <x v="1"/>
    <s v="Cleaning"/>
    <n v="8"/>
    <n v="95"/>
    <n v="55"/>
    <n v="57.894736842105267"/>
    <s v="February"/>
    <n v="1"/>
    <n v="52"/>
    <n v="1"/>
  </r>
  <r>
    <s v="website_sales_feb_2025.csv"/>
    <x v="0"/>
    <s v="W-10098"/>
    <x v="0"/>
    <x v="1"/>
    <s v="fatima.hassan@hotmail.com"/>
    <s v="SKU2201"/>
    <n v="2"/>
    <n v="349"/>
    <n v="0"/>
    <s v="Completed"/>
    <x v="1"/>
    <x v="1"/>
    <d v="2022-07-02T00:00:00"/>
    <x v="2"/>
    <x v="0"/>
    <s v="Accessories"/>
    <n v="165"/>
    <n v="698"/>
    <n v="368"/>
    <n v="52.722063037249278"/>
    <s v="February"/>
    <n v="1"/>
    <n v="32"/>
    <n v="1"/>
  </r>
  <r>
    <s v="website_sales_feb_2025.csv"/>
    <x v="0"/>
    <s v="W-10111"/>
    <x v="2"/>
    <x v="1"/>
    <s v="fatima.hassan@hotmail.com"/>
    <s v="SKU1106"/>
    <n v="1"/>
    <n v="1099"/>
    <n v="110"/>
    <s v="Completed"/>
    <x v="1"/>
    <x v="1"/>
    <d v="2022-07-02T00:00:00"/>
    <x v="3"/>
    <x v="2"/>
    <s v="Cleaning"/>
    <n v="650"/>
    <n v="989"/>
    <n v="339"/>
    <n v="34.277047522750252"/>
    <s v="February"/>
    <n v="1"/>
    <n v="32"/>
    <n v="1"/>
  </r>
  <r>
    <s v="website_sales_feb_2025.csv"/>
    <x v="0"/>
    <s v="W-10114"/>
    <x v="3"/>
    <x v="2"/>
    <s v="rashed.alketbi@gmail.com"/>
    <s v="SKU2201"/>
    <n v="1"/>
    <n v="349"/>
    <n v="34.9"/>
    <s v="Completed"/>
    <x v="0"/>
    <x v="2"/>
    <d v="2023-12-19T00:00:00"/>
    <x v="2"/>
    <x v="0"/>
    <s v="Accessories"/>
    <n v="165"/>
    <n v="314.10000000000002"/>
    <n v="149.10000000000002"/>
    <n v="47.468958930276983"/>
    <s v="February"/>
    <n v="1"/>
    <n v="8"/>
    <n v="1"/>
  </r>
  <r>
    <s v="website_sales_feb_2025.csv"/>
    <x v="0"/>
    <s v="W-10100"/>
    <x v="4"/>
    <x v="3"/>
    <s v="khalid.alblooshi@gmail.com"/>
    <s v="SKU1105"/>
    <n v="1"/>
    <n v="899"/>
    <n v="90"/>
    <s v="Completed"/>
    <x v="0"/>
    <x v="0"/>
    <d v="2023-01-22T00:00:00"/>
    <x v="4"/>
    <x v="2"/>
    <s v="Cleaning"/>
    <n v="520"/>
    <n v="809"/>
    <n v="289"/>
    <n v="35.723114956736715"/>
    <s v="February"/>
    <n v="1"/>
    <n v="32"/>
    <n v="1"/>
  </r>
  <r>
    <s v="website_sales_feb_2025.csv"/>
    <x v="0"/>
    <s v="W-10110"/>
    <x v="5"/>
    <x v="3"/>
    <s v="khalid.alblooshi@gmail.com"/>
    <s v="SKU2210"/>
    <n v="1"/>
    <n v="189"/>
    <n v="0"/>
    <s v="Completed"/>
    <x v="0"/>
    <x v="0"/>
    <d v="2023-01-22T00:00:00"/>
    <x v="5"/>
    <x v="0"/>
    <s v="Wearables"/>
    <n v="95"/>
    <n v="189"/>
    <n v="94"/>
    <n v="49.735449735449734"/>
    <s v="February"/>
    <n v="1"/>
    <n v="32"/>
    <n v="1"/>
  </r>
  <r>
    <s v="website_sales_feb_2025.csv"/>
    <x v="0"/>
    <s v="W-10101"/>
    <x v="6"/>
    <x v="4"/>
    <s v="hassan.alali@gmail.com"/>
    <s v="SKU4403"/>
    <n v="1"/>
    <n v="749"/>
    <n v="0"/>
    <s v="Completed"/>
    <x v="0"/>
    <x v="2"/>
    <d v="2025-01-28T00:00:00"/>
    <x v="6"/>
    <x v="0"/>
    <s v="Tablets"/>
    <n v="490"/>
    <n v="749"/>
    <n v="259"/>
    <n v="34.579439252336449"/>
    <s v="February"/>
    <n v="1"/>
    <n v="10"/>
    <n v="1"/>
  </r>
  <r>
    <s v="website_sales_feb_2025.csv"/>
    <x v="0"/>
    <s v="W-10107"/>
    <x v="1"/>
    <x v="4"/>
    <s v="hassan.alali@gmail.com"/>
    <s v="SKU1103"/>
    <n v="1"/>
    <n v="459"/>
    <n v="0"/>
    <s v="Completed"/>
    <x v="0"/>
    <x v="2"/>
    <d v="2025-01-28T00:00:00"/>
    <x v="7"/>
    <x v="2"/>
    <s v="Kitchen"/>
    <n v="210"/>
    <n v="459"/>
    <n v="249"/>
    <n v="54.248366013071895"/>
    <s v="February"/>
    <n v="1"/>
    <n v="10"/>
    <n v="1"/>
  </r>
  <r>
    <s v="website_sales_feb_2025.csv"/>
    <x v="0"/>
    <s v="W-10117"/>
    <x v="7"/>
    <x v="4"/>
    <s v="hassan.alali@gmail.com"/>
    <s v="SKU4403"/>
    <n v="2"/>
    <n v="749"/>
    <n v="75"/>
    <s v="Completed"/>
    <x v="0"/>
    <x v="2"/>
    <d v="2025-01-28T00:00:00"/>
    <x v="6"/>
    <x v="0"/>
    <s v="Tablets"/>
    <n v="490"/>
    <n v="1423"/>
    <n v="443"/>
    <n v="31.131412508784255"/>
    <s v="February"/>
    <n v="1"/>
    <n v="10"/>
    <n v="1"/>
  </r>
  <r>
    <s v="website_sales_feb_2025.csv"/>
    <x v="0"/>
    <s v="W-10103"/>
    <x v="8"/>
    <x v="5"/>
    <s v="omar.farooq@gmail.com"/>
    <s v="SKU1101"/>
    <n v="2"/>
    <n v="199"/>
    <n v="0"/>
    <s v="Completed"/>
    <x v="0"/>
    <x v="1"/>
    <d v="2022-11-18T00:00:00"/>
    <x v="8"/>
    <x v="2"/>
    <s v="Kitchen"/>
    <n v="95"/>
    <n v="398"/>
    <n v="208"/>
    <n v="52.261306532663319"/>
    <s v="February"/>
    <n v="1"/>
    <n v="32"/>
    <n v="1"/>
  </r>
  <r>
    <s v="website_sales_feb_2025.csv"/>
    <x v="0"/>
    <s v="W-10102"/>
    <x v="6"/>
    <x v="6"/>
    <s v="sara.yousuf@gmail.com"/>
    <s v="SKU2205"/>
    <n v="1"/>
    <n v="529"/>
    <n v="52.9"/>
    <s v="Completed"/>
    <x v="0"/>
    <x v="1"/>
    <d v="2023-04-14T00:00:00"/>
    <x v="9"/>
    <x v="0"/>
    <s v="Audio"/>
    <n v="260"/>
    <n v="476.1"/>
    <n v="216.10000000000002"/>
    <n v="45.389624028565429"/>
    <s v="February"/>
    <n v="1"/>
    <n v="18"/>
    <n v="1"/>
  </r>
  <r>
    <s v="website_sales_feb_2025.csv"/>
    <x v="0"/>
    <s v="W-10099"/>
    <x v="4"/>
    <x v="7"/>
    <s v="sara.ahmed@gmail.com"/>
    <s v="SKU3302"/>
    <n v="3"/>
    <n v="45"/>
    <n v="0"/>
    <s v="Completed"/>
    <x v="2"/>
    <x v="3"/>
    <m/>
    <x v="10"/>
    <x v="1"/>
    <s v="Organisation"/>
    <n v="18"/>
    <n v="135"/>
    <n v="81"/>
    <n v="60"/>
    <s v="February"/>
    <n v="1"/>
    <m/>
    <m/>
  </r>
  <r>
    <s v="website_sales_feb_2025.csv"/>
    <x v="0"/>
    <s v="W-10104"/>
    <x v="8"/>
    <x v="7"/>
    <s v="lina.mahmoud@outlook.com"/>
    <s v="SKU3305"/>
    <n v="4"/>
    <n v="29"/>
    <n v="0"/>
    <s v="Completed"/>
    <x v="2"/>
    <x v="3"/>
    <m/>
    <x v="11"/>
    <x v="1"/>
    <s v="Cleaning"/>
    <n v="11"/>
    <n v="116"/>
    <n v="72"/>
    <n v="62.068965517241381"/>
    <s v="February"/>
    <n v="1"/>
    <m/>
    <m/>
  </r>
  <r>
    <s v="website_sales_feb_2025.csv"/>
    <x v="0"/>
    <s v="W-10109"/>
    <x v="5"/>
    <x v="7"/>
    <s v="noor.alqasim@gmail.com"/>
    <s v="SKU4402"/>
    <n v="1"/>
    <n v="599"/>
    <n v="60"/>
    <s v="Completed"/>
    <x v="2"/>
    <x v="3"/>
    <m/>
    <x v="12"/>
    <x v="0"/>
    <s v="Audio"/>
    <n v="350"/>
    <n v="539"/>
    <n v="189"/>
    <n v="35.064935064935064"/>
    <s v="February"/>
    <n v="1"/>
    <m/>
    <m/>
  </r>
  <r>
    <s v="website_sales_feb_2025.csv"/>
    <x v="0"/>
    <s v="W-10115"/>
    <x v="9"/>
    <x v="7"/>
    <s v="fatma.alzaabi@yahoo.com"/>
    <s v="SKU1105"/>
    <n v="1"/>
    <n v="899"/>
    <n v="0"/>
    <s v="Completed"/>
    <x v="2"/>
    <x v="3"/>
    <m/>
    <x v="4"/>
    <x v="2"/>
    <s v="Cleaning"/>
    <n v="520"/>
    <n v="899"/>
    <n v="379"/>
    <n v="42.157953281423808"/>
    <s v="February"/>
    <n v="1"/>
    <m/>
    <m/>
  </r>
  <r>
    <s v="website_sales_feb_2025.csv"/>
    <x v="0"/>
    <s v="W-10105"/>
    <x v="10"/>
    <x v="8"/>
    <s v="layla.nasser@gmail.com"/>
    <s v="SKU4404"/>
    <n v="1"/>
    <n v="2199"/>
    <n v="220"/>
    <s v="Completed"/>
    <x v="3"/>
    <x v="1"/>
    <d v="2023-01-05T00:00:00"/>
    <x v="13"/>
    <x v="0"/>
    <s v="TVs"/>
    <n v="1380"/>
    <n v="1979"/>
    <n v="599"/>
    <n v="30.267812026275898"/>
    <s v="February"/>
    <n v="1"/>
    <n v="35"/>
    <n v="1"/>
  </r>
  <r>
    <s v="website_sales_feb_2025.csv"/>
    <x v="0"/>
    <s v="W-10106"/>
    <x v="10"/>
    <x v="9"/>
    <s v="hamdan.sultan@gmail.com"/>
    <s v="SKU2209"/>
    <n v="2"/>
    <n v="229"/>
    <n v="22.9"/>
    <s v="Completed"/>
    <x v="4"/>
    <x v="1"/>
    <d v="2023-08-30T00:00:00"/>
    <x v="14"/>
    <x v="0"/>
    <s v="Wearables"/>
    <n v="110"/>
    <n v="435.1"/>
    <n v="215.10000000000002"/>
    <n v="49.436911054929908"/>
    <s v="February"/>
    <n v="1"/>
    <n v="46"/>
    <n v="1"/>
  </r>
  <r>
    <s v="website_sales_feb_2025.csv"/>
    <x v="0"/>
    <s v="W-10116"/>
    <x v="9"/>
    <x v="9"/>
    <s v="hamdan.sultan@gmail.com"/>
    <s v="SKU3302"/>
    <n v="4"/>
    <n v="45"/>
    <n v="0"/>
    <s v="Completed"/>
    <x v="4"/>
    <x v="1"/>
    <d v="2023-08-30T00:00:00"/>
    <x v="10"/>
    <x v="1"/>
    <s v="Organisation"/>
    <n v="18"/>
    <n v="180"/>
    <n v="108"/>
    <n v="60"/>
    <s v="February"/>
    <n v="1"/>
    <n v="46"/>
    <n v="1"/>
  </r>
  <r>
    <s v="website_sales_feb_2025.csv"/>
    <x v="0"/>
    <s v="W-10112"/>
    <x v="2"/>
    <x v="10"/>
    <s v="priya.nair@gmail.com"/>
    <s v="SKU3308"/>
    <n v="2"/>
    <n v="89"/>
    <n v="0"/>
    <s v="Completed"/>
    <x v="0"/>
    <x v="2"/>
    <d v="2025-01-30T00:00:00"/>
    <x v="15"/>
    <x v="1"/>
    <s v="Fragrance"/>
    <n v="42"/>
    <n v="178"/>
    <n v="94"/>
    <n v="52.80898876404494"/>
    <s v="February"/>
    <n v="1"/>
    <n v="10"/>
    <n v="1"/>
  </r>
  <r>
    <s v="website_sales_feb_2025.csv"/>
    <x v="0"/>
    <s v="W-10118"/>
    <x v="7"/>
    <x v="8"/>
    <s v="layla.nasser@gmail.com"/>
    <s v="SKU2205"/>
    <n v="1"/>
    <n v="529"/>
    <n v="0"/>
    <s v="Completed"/>
    <x v="3"/>
    <x v="1"/>
    <d v="2023-01-05T00:00:00"/>
    <x v="9"/>
    <x v="0"/>
    <s v="Audio"/>
    <n v="260"/>
    <n v="529"/>
    <n v="269"/>
    <n v="50.850661625708881"/>
    <s v="February"/>
    <n v="1"/>
    <n v="35"/>
    <n v="1"/>
  </r>
  <r>
    <s v="website_sales_feb_2025.csv"/>
    <x v="0"/>
    <s v="W-10119"/>
    <x v="11"/>
    <x v="10"/>
    <s v="priya.nair@gmail.com"/>
    <s v="SKU1101"/>
    <n v="3"/>
    <n v="199"/>
    <n v="30"/>
    <s v="Completed"/>
    <x v="0"/>
    <x v="2"/>
    <d v="2025-01-30T00:00:00"/>
    <x v="8"/>
    <x v="2"/>
    <s v="Kitchen"/>
    <n v="95"/>
    <n v="567"/>
    <n v="282"/>
    <n v="49.735449735449734"/>
    <s v="February"/>
    <n v="1"/>
    <n v="10"/>
    <n v="1"/>
  </r>
  <r>
    <s v="website_sales_feb_2025.csv"/>
    <x v="0"/>
    <s v="W-10120"/>
    <x v="11"/>
    <x v="7"/>
    <s v="khalid.mansoor@gmail.com"/>
    <s v="SKU3305"/>
    <n v="2"/>
    <n v="29"/>
    <n v="0"/>
    <s v="Completed"/>
    <x v="2"/>
    <x v="3"/>
    <m/>
    <x v="11"/>
    <x v="1"/>
    <s v="Cleaning"/>
    <n v="11"/>
    <n v="58"/>
    <n v="36"/>
    <n v="62.068965517241381"/>
    <s v="February"/>
    <n v="1"/>
    <m/>
    <m/>
  </r>
  <r>
    <s v="website_sales_feb_2025.csv"/>
    <x v="0"/>
    <s v="W-10121"/>
    <x v="12"/>
    <x v="0"/>
    <s v="ahmed.almarzouqi@gmail.com"/>
    <s v="SKU4404"/>
    <n v="1"/>
    <n v="2199"/>
    <n v="0"/>
    <s v="Completed"/>
    <x v="0"/>
    <x v="0"/>
    <d v="2022-03-15T00:00:00"/>
    <x v="13"/>
    <x v="0"/>
    <s v="TVs"/>
    <n v="1380"/>
    <n v="2199"/>
    <n v="819"/>
    <n v="37.244201909959074"/>
    <s v="February"/>
    <n v="1"/>
    <n v="52"/>
    <n v="1"/>
  </r>
  <r>
    <s v="website_sales_feb_2025.csv"/>
    <x v="0"/>
    <s v="W-10122"/>
    <x v="12"/>
    <x v="3"/>
    <s v="khalid.alblooshi@gmail.com"/>
    <s v="SKU2209"/>
    <n v="1"/>
    <n v="229"/>
    <n v="22.9"/>
    <s v="Completed"/>
    <x v="0"/>
    <x v="0"/>
    <d v="2023-01-22T00:00:00"/>
    <x v="14"/>
    <x v="0"/>
    <s v="Wearables"/>
    <n v="110"/>
    <n v="206.1"/>
    <n v="96.1"/>
    <n v="46.62785055798156"/>
    <s v="February"/>
    <n v="1"/>
    <n v="32"/>
    <n v="1"/>
  </r>
  <r>
    <s v="website_sales_feb_2025.csv"/>
    <x v="0"/>
    <s v="W-10123"/>
    <x v="13"/>
    <x v="1"/>
    <s v="fatima.hassan@hotmail.com"/>
    <s v="SKU1103"/>
    <n v="1"/>
    <n v="459"/>
    <n v="46"/>
    <s v="Completed"/>
    <x v="1"/>
    <x v="1"/>
    <d v="2022-07-02T00:00:00"/>
    <x v="7"/>
    <x v="2"/>
    <s v="Kitchen"/>
    <n v="210"/>
    <n v="413"/>
    <n v="203"/>
    <n v="49.152542372881356"/>
    <s v="February"/>
    <n v="1"/>
    <n v="32"/>
    <n v="1"/>
  </r>
  <r>
    <s v="website_sales_feb_2025.csv"/>
    <x v="0"/>
    <s v="W-10124"/>
    <x v="13"/>
    <x v="7"/>
    <s v="valentine.guest@gmail.com"/>
    <s v="SKU3301"/>
    <n v="3"/>
    <n v="19"/>
    <n v="0"/>
    <s v="Completed"/>
    <x v="2"/>
    <x v="3"/>
    <m/>
    <x v="1"/>
    <x v="1"/>
    <s v="Cleaning"/>
    <n v="8"/>
    <n v="57"/>
    <n v="33"/>
    <n v="57.894736842105267"/>
    <s v="February"/>
    <n v="1"/>
    <m/>
    <m/>
  </r>
  <r>
    <s v="website_sales_feb_2025.csv"/>
    <x v="0"/>
    <s v="W-10125"/>
    <x v="14"/>
    <x v="6"/>
    <s v="sara.yousuf@gmail.com"/>
    <s v="SKU4402"/>
    <n v="1"/>
    <n v="599"/>
    <n v="0"/>
    <s v="Completed"/>
    <x v="0"/>
    <x v="1"/>
    <d v="2023-04-14T00:00:00"/>
    <x v="12"/>
    <x v="0"/>
    <s v="Audio"/>
    <n v="350"/>
    <n v="599"/>
    <n v="249"/>
    <n v="41.569282136894827"/>
    <s v="February"/>
    <n v="1"/>
    <n v="18"/>
    <n v="1"/>
  </r>
  <r>
    <s v="website_sales_feb_2025.csv"/>
    <x v="0"/>
    <s v="W-10126"/>
    <x v="14"/>
    <x v="4"/>
    <s v="hassan.alali@gmail.com"/>
    <s v="SKU2210"/>
    <n v="2"/>
    <n v="189"/>
    <n v="19"/>
    <s v="Completed"/>
    <x v="0"/>
    <x v="2"/>
    <d v="2025-01-28T00:00:00"/>
    <x v="5"/>
    <x v="0"/>
    <s v="Wearables"/>
    <n v="95"/>
    <n v="359"/>
    <n v="169"/>
    <n v="47.075208913649021"/>
    <s v="February"/>
    <n v="1"/>
    <n v="10"/>
    <n v="1"/>
  </r>
  <r>
    <s v="website_sales_feb_2025.csv"/>
    <x v="0"/>
    <s v="W-10127"/>
    <x v="15"/>
    <x v="5"/>
    <s v="omar.farooq@gmail.com"/>
    <s v="SKU1106"/>
    <n v="1"/>
    <n v="1099"/>
    <n v="110"/>
    <s v="Completed"/>
    <x v="0"/>
    <x v="1"/>
    <d v="2022-11-18T00:00:00"/>
    <x v="3"/>
    <x v="2"/>
    <s v="Cleaning"/>
    <n v="650"/>
    <n v="989"/>
    <n v="339"/>
    <n v="34.277047522750252"/>
    <s v="February"/>
    <n v="1"/>
    <n v="32"/>
    <n v="1"/>
  </r>
  <r>
    <s v="website_sales_feb_2025.csv"/>
    <x v="0"/>
    <s v="W-10128"/>
    <x v="15"/>
    <x v="7"/>
    <s v="amira.hassan@hotmail.com"/>
    <s v="SKU3308"/>
    <n v="1"/>
    <n v="89"/>
    <n v="0"/>
    <s v="Completed"/>
    <x v="2"/>
    <x v="3"/>
    <m/>
    <x v="15"/>
    <x v="1"/>
    <s v="Fragrance"/>
    <n v="42"/>
    <n v="89"/>
    <n v="47"/>
    <n v="52.80898876404494"/>
    <s v="February"/>
    <n v="1"/>
    <m/>
    <m/>
  </r>
  <r>
    <s v="website_sales_feb_2025.csv"/>
    <x v="0"/>
    <s v="W-10129"/>
    <x v="16"/>
    <x v="9"/>
    <s v="hamdan.sultan@gmail.com"/>
    <s v="SKU4401"/>
    <n v="1"/>
    <n v="1299"/>
    <n v="130"/>
    <s v="Completed"/>
    <x v="4"/>
    <x v="1"/>
    <d v="2023-08-30T00:00:00"/>
    <x v="0"/>
    <x v="0"/>
    <s v="TVs"/>
    <n v="820"/>
    <n v="1169"/>
    <n v="349"/>
    <n v="29.854576561163388"/>
    <s v="February"/>
    <n v="1"/>
    <n v="46"/>
    <n v="1"/>
  </r>
  <r>
    <s v="website_sales_feb_2025.csv"/>
    <x v="0"/>
    <s v="W-10130"/>
    <x v="16"/>
    <x v="10"/>
    <s v="priya.nair@gmail.com"/>
    <s v="SKU2201"/>
    <n v="2"/>
    <n v="349"/>
    <n v="0"/>
    <s v="Completed"/>
    <x v="0"/>
    <x v="2"/>
    <d v="2025-01-30T00:00:00"/>
    <x v="2"/>
    <x v="0"/>
    <s v="Accessories"/>
    <n v="165"/>
    <n v="698"/>
    <n v="368"/>
    <n v="52.722063037249278"/>
    <s v="February"/>
    <n v="1"/>
    <n v="10"/>
    <n v="1"/>
  </r>
  <r>
    <s v="website_sales_feb_2025.csv"/>
    <x v="0"/>
    <s v="W-10131"/>
    <x v="17"/>
    <x v="8"/>
    <s v="layla.nasser@gmail.com"/>
    <s v="SKU1105"/>
    <n v="1"/>
    <n v="899"/>
    <n v="89.9"/>
    <s v="Completed"/>
    <x v="3"/>
    <x v="1"/>
    <d v="2023-01-05T00:00:00"/>
    <x v="4"/>
    <x v="2"/>
    <s v="Cleaning"/>
    <n v="520"/>
    <n v="809.1"/>
    <n v="289.10000000000002"/>
    <n v="35.731059201582006"/>
    <s v="February"/>
    <n v="1"/>
    <n v="35"/>
    <n v="1"/>
  </r>
  <r>
    <s v="website_sales_feb_2025.csv"/>
    <x v="0"/>
    <s v="W-10132"/>
    <x v="17"/>
    <x v="7"/>
    <s v="rashid.alhammadi@gmail.com"/>
    <s v="SKU3302"/>
    <n v="2"/>
    <n v="45"/>
    <n v="0"/>
    <s v="Completed"/>
    <x v="2"/>
    <x v="3"/>
    <m/>
    <x v="10"/>
    <x v="1"/>
    <s v="Organisation"/>
    <n v="18"/>
    <n v="90"/>
    <n v="54"/>
    <n v="60"/>
    <s v="February"/>
    <n v="1"/>
    <m/>
    <m/>
  </r>
  <r>
    <s v="website_sales_feb_2025.csv"/>
    <x v="0"/>
    <s v="W-10133"/>
    <x v="18"/>
    <x v="0"/>
    <s v="ahmed.almarzouqi@gmail.com"/>
    <s v="SKU2205"/>
    <n v="1"/>
    <n v="529"/>
    <n v="53"/>
    <s v="Completed"/>
    <x v="0"/>
    <x v="0"/>
    <d v="2022-03-15T00:00:00"/>
    <x v="9"/>
    <x v="0"/>
    <s v="Audio"/>
    <n v="260"/>
    <n v="476"/>
    <n v="216"/>
    <n v="45.378151260504204"/>
    <s v="February"/>
    <n v="1"/>
    <n v="52"/>
    <n v="1"/>
  </r>
  <r>
    <s v="website_sales_feb_2025.csv"/>
    <x v="0"/>
    <s v="W-10134"/>
    <x v="18"/>
    <x v="3"/>
    <s v="khalid.alblooshi@gmail.com"/>
    <s v="SKU4403"/>
    <n v="1"/>
    <n v="749"/>
    <n v="75"/>
    <s v="Completed"/>
    <x v="0"/>
    <x v="0"/>
    <d v="2023-01-22T00:00:00"/>
    <x v="6"/>
    <x v="0"/>
    <s v="Tablets"/>
    <n v="490"/>
    <n v="674"/>
    <n v="184"/>
    <n v="27.299703264094955"/>
    <s v="February"/>
    <n v="1"/>
    <n v="32"/>
    <n v="1"/>
  </r>
  <r>
    <s v="website_sales_feb_2025.csv"/>
    <x v="0"/>
    <s v="W-10135"/>
    <x v="19"/>
    <x v="2"/>
    <s v="rashed.alketbi@gmail.com"/>
    <s v="SKU1101"/>
    <n v="2"/>
    <n v="199"/>
    <n v="0"/>
    <s v="Completed"/>
    <x v="0"/>
    <x v="2"/>
    <d v="2023-12-19T00:00:00"/>
    <x v="8"/>
    <x v="2"/>
    <s v="Kitchen"/>
    <n v="95"/>
    <n v="398"/>
    <n v="208"/>
    <n v="52.261306532663319"/>
    <s v="February"/>
    <n v="1"/>
    <n v="8"/>
    <n v="1"/>
  </r>
  <r>
    <s v="website_sales_feb_2025.csv"/>
    <x v="0"/>
    <s v="W-10136"/>
    <x v="19"/>
    <x v="7"/>
    <s v="nouf.almarri@gmail.com"/>
    <s v="SKU3305"/>
    <n v="3"/>
    <n v="29"/>
    <n v="0"/>
    <s v="Completed"/>
    <x v="2"/>
    <x v="3"/>
    <m/>
    <x v="11"/>
    <x v="1"/>
    <s v="Cleaning"/>
    <n v="11"/>
    <n v="87"/>
    <n v="54"/>
    <n v="62.068965517241381"/>
    <s v="February"/>
    <n v="1"/>
    <m/>
    <m/>
  </r>
  <r>
    <s v="website_sales_feb_2025.csv"/>
    <x v="0"/>
    <s v="W-10137"/>
    <x v="20"/>
    <x v="1"/>
    <s v="fatima.hassan@hotmail.com"/>
    <s v="SKU4404"/>
    <n v="1"/>
    <n v="2199"/>
    <n v="220"/>
    <s v="Completed"/>
    <x v="1"/>
    <x v="1"/>
    <d v="2022-07-02T00:00:00"/>
    <x v="13"/>
    <x v="0"/>
    <s v="TVs"/>
    <n v="1380"/>
    <n v="1979"/>
    <n v="599"/>
    <n v="30.267812026275898"/>
    <s v="February"/>
    <n v="1"/>
    <n v="32"/>
    <n v="1"/>
  </r>
  <r>
    <s v="website_sales_feb_2025.csv"/>
    <x v="0"/>
    <s v="W-10138"/>
    <x v="20"/>
    <x v="4"/>
    <s v="hassan.alali@gmail.com"/>
    <s v="SKU2209"/>
    <n v="1"/>
    <n v="229"/>
    <n v="0"/>
    <s v="Completed"/>
    <x v="0"/>
    <x v="2"/>
    <d v="2025-01-28T00:00:00"/>
    <x v="14"/>
    <x v="0"/>
    <s v="Wearables"/>
    <n v="110"/>
    <n v="229"/>
    <n v="119"/>
    <n v="51.965065502183407"/>
    <s v="February"/>
    <n v="1"/>
    <n v="10"/>
    <n v="1"/>
  </r>
  <r>
    <s v="website_sales_feb_2025.csv"/>
    <x v="0"/>
    <s v="W-10139"/>
    <x v="21"/>
    <x v="10"/>
    <s v="priya.nair@gmail.com"/>
    <s v="SKU1103"/>
    <n v="1"/>
    <n v="459"/>
    <n v="46"/>
    <s v="Completed"/>
    <x v="0"/>
    <x v="2"/>
    <d v="2025-01-30T00:00:00"/>
    <x v="7"/>
    <x v="2"/>
    <s v="Kitchen"/>
    <n v="210"/>
    <n v="413"/>
    <n v="203"/>
    <n v="49.152542372881356"/>
    <s v="February"/>
    <n v="1"/>
    <n v="10"/>
    <n v="1"/>
  </r>
  <r>
    <s v="website_sales_feb_2025.csv"/>
    <x v="0"/>
    <s v="W-10140"/>
    <x v="21"/>
    <x v="7"/>
    <s v="guest.feb22@gmail.com"/>
    <s v="SKU3301"/>
    <n v="4"/>
    <n v="19"/>
    <n v="0"/>
    <s v="Completed"/>
    <x v="2"/>
    <x v="3"/>
    <m/>
    <x v="1"/>
    <x v="1"/>
    <s v="Cleaning"/>
    <n v="8"/>
    <n v="76"/>
    <n v="44"/>
    <n v="57.894736842105267"/>
    <s v="February"/>
    <n v="1"/>
    <m/>
    <m/>
  </r>
  <r>
    <s v="website_sales_feb_2025.csv"/>
    <x v="0"/>
    <s v="W-10141"/>
    <x v="22"/>
    <x v="6"/>
    <s v="sara.yousuf@gmail.com"/>
    <s v="SKU4402"/>
    <n v="1"/>
    <n v="599"/>
    <n v="59.9"/>
    <s v="Completed"/>
    <x v="0"/>
    <x v="1"/>
    <d v="2023-04-14T00:00:00"/>
    <x v="12"/>
    <x v="0"/>
    <s v="Audio"/>
    <n v="350"/>
    <n v="539.1"/>
    <n v="189.10000000000002"/>
    <n v="35.076980152105364"/>
    <s v="February"/>
    <n v="1"/>
    <n v="18"/>
    <n v="1"/>
  </r>
  <r>
    <s v="website_sales_feb_2025.csv"/>
    <x v="0"/>
    <s v="W-10142"/>
    <x v="22"/>
    <x v="5"/>
    <s v="omar.farooq@gmail.com"/>
    <s v="SKU2210"/>
    <n v="1"/>
    <n v="189"/>
    <n v="0"/>
    <s v="Completed"/>
    <x v="0"/>
    <x v="1"/>
    <d v="2022-11-18T00:00:00"/>
    <x v="5"/>
    <x v="0"/>
    <s v="Wearables"/>
    <n v="95"/>
    <n v="189"/>
    <n v="94"/>
    <n v="49.735449735449734"/>
    <s v="February"/>
    <n v="1"/>
    <n v="32"/>
    <n v="1"/>
  </r>
  <r>
    <s v="website_sales_feb_2025.csv"/>
    <x v="0"/>
    <s v="W-10144"/>
    <x v="23"/>
    <x v="7"/>
    <s v="diana.joseph@gmail.com"/>
    <s v="SKU3308"/>
    <n v="2"/>
    <n v="89"/>
    <n v="8.9"/>
    <s v="Completed"/>
    <x v="2"/>
    <x v="3"/>
    <m/>
    <x v="15"/>
    <x v="1"/>
    <s v="Fragrance"/>
    <n v="42"/>
    <n v="169.1"/>
    <n v="85.1"/>
    <n v="50.325251330573629"/>
    <s v="February"/>
    <n v="1"/>
    <m/>
    <m/>
  </r>
  <r>
    <s v="website_sales_feb_2025.csv"/>
    <x v="0"/>
    <s v="W-10145"/>
    <x v="24"/>
    <x v="8"/>
    <s v="layla.nasser@gmail.com"/>
    <s v="SKU4401"/>
    <n v="1"/>
    <n v="1299"/>
    <n v="0"/>
    <s v="Completed"/>
    <x v="3"/>
    <x v="1"/>
    <d v="2023-01-05T00:00:00"/>
    <x v="0"/>
    <x v="0"/>
    <s v="TVs"/>
    <n v="820"/>
    <n v="1299"/>
    <n v="479"/>
    <n v="36.87451886066205"/>
    <s v="February"/>
    <n v="1"/>
    <n v="35"/>
    <n v="1"/>
  </r>
  <r>
    <s v="website_sales_feb_2025.csv"/>
    <x v="0"/>
    <s v="W-10146"/>
    <x v="24"/>
    <x v="0"/>
    <s v="ahmed.almarzouqi@gmail.com"/>
    <s v="SKU2201"/>
    <n v="2"/>
    <n v="349"/>
    <n v="34.9"/>
    <s v="Completed"/>
    <x v="0"/>
    <x v="0"/>
    <d v="2022-03-15T00:00:00"/>
    <x v="2"/>
    <x v="0"/>
    <s v="Accessories"/>
    <n v="165"/>
    <n v="663.1"/>
    <n v="333.1"/>
    <n v="50.233750565525561"/>
    <s v="February"/>
    <n v="1"/>
    <n v="52"/>
    <n v="1"/>
  </r>
  <r>
    <s v="website_sales_feb_2025.csv"/>
    <x v="0"/>
    <s v="W-10147"/>
    <x v="25"/>
    <x v="3"/>
    <s v="khalid.alblooshi@gmail.com"/>
    <s v="SKU1105"/>
    <n v="1"/>
    <n v="899"/>
    <n v="0"/>
    <s v="Completed"/>
    <x v="0"/>
    <x v="0"/>
    <d v="2023-01-22T00:00:00"/>
    <x v="4"/>
    <x v="2"/>
    <s v="Cleaning"/>
    <n v="520"/>
    <n v="899"/>
    <n v="379"/>
    <n v="42.157953281423808"/>
    <s v="February"/>
    <n v="1"/>
    <n v="32"/>
    <n v="1"/>
  </r>
  <r>
    <s v="website_sales_feb_2025.csv"/>
    <x v="0"/>
    <s v="W-10148"/>
    <x v="25"/>
    <x v="7"/>
    <s v="marwa.salim@gmail.com"/>
    <s v="SKU3302"/>
    <n v="3"/>
    <n v="45"/>
    <n v="0"/>
    <s v="Completed"/>
    <x v="2"/>
    <x v="3"/>
    <m/>
    <x v="10"/>
    <x v="1"/>
    <s v="Organisation"/>
    <n v="18"/>
    <n v="135"/>
    <n v="81"/>
    <n v="60"/>
    <s v="February"/>
    <n v="1"/>
    <m/>
    <m/>
  </r>
  <r>
    <s v="website_sales_feb_2025.csv"/>
    <x v="0"/>
    <s v="W-10149"/>
    <x v="26"/>
    <x v="4"/>
    <s v="hassan.alali@gmail.com"/>
    <s v="SKU4403"/>
    <n v="1"/>
    <n v="749"/>
    <n v="74.900000000000006"/>
    <s v="Completed"/>
    <x v="0"/>
    <x v="2"/>
    <d v="2025-01-28T00:00:00"/>
    <x v="6"/>
    <x v="0"/>
    <s v="Tablets"/>
    <n v="490"/>
    <n v="674.1"/>
    <n v="184.10000000000002"/>
    <n v="27.310488058151609"/>
    <s v="February"/>
    <n v="1"/>
    <n v="10"/>
    <n v="1"/>
  </r>
  <r>
    <s v="website_sales_feb_2025.csv"/>
    <x v="0"/>
    <s v="W-10150"/>
    <x v="26"/>
    <x v="10"/>
    <s v="priya.nair@gmail.com"/>
    <s v="SKU2205"/>
    <n v="1"/>
    <n v="529"/>
    <n v="0"/>
    <s v="Completed"/>
    <x v="0"/>
    <x v="2"/>
    <d v="2025-01-30T00:00:00"/>
    <x v="9"/>
    <x v="0"/>
    <s v="Audio"/>
    <n v="260"/>
    <n v="529"/>
    <n v="269"/>
    <n v="50.850661625708881"/>
    <s v="February"/>
    <n v="1"/>
    <n v="10"/>
    <n v="1"/>
  </r>
  <r>
    <s v="website_sales_feb_2025.csv"/>
    <x v="0"/>
    <s v="W-10151"/>
    <x v="27"/>
    <x v="1"/>
    <s v="fatima.hassan@hotmail.com"/>
    <s v="SKU1101"/>
    <n v="2"/>
    <n v="199"/>
    <n v="20"/>
    <s v="Completed"/>
    <x v="1"/>
    <x v="1"/>
    <d v="2022-07-02T00:00:00"/>
    <x v="8"/>
    <x v="2"/>
    <s v="Kitchen"/>
    <n v="95"/>
    <n v="378"/>
    <n v="188"/>
    <n v="49.735449735449734"/>
    <s v="February"/>
    <n v="1"/>
    <n v="32"/>
    <n v="1"/>
  </r>
  <r>
    <s v="website_sales_feb_2025.csv"/>
    <x v="0"/>
    <s v="W-10152"/>
    <x v="27"/>
    <x v="7"/>
    <s v="ahmed.guest@yahoo.com"/>
    <s v="SKU3305"/>
    <n v="2"/>
    <n v="29"/>
    <n v="0"/>
    <s v="Completed"/>
    <x v="2"/>
    <x v="3"/>
    <m/>
    <x v="11"/>
    <x v="1"/>
    <s v="Cleaning"/>
    <n v="11"/>
    <n v="58"/>
    <n v="36"/>
    <n v="62.068965517241381"/>
    <s v="February"/>
    <n v="1"/>
    <m/>
    <m/>
  </r>
  <r>
    <s v="website_sales_jan_2025.csv"/>
    <x v="0"/>
    <s v="W-10041"/>
    <x v="28"/>
    <x v="0"/>
    <s v="ahmed.almarzouqi@gmail.com"/>
    <s v="SKU2201"/>
    <n v="2"/>
    <n v="349"/>
    <n v="0"/>
    <s v="Completed"/>
    <x v="0"/>
    <x v="0"/>
    <d v="2022-03-15T00:00:00"/>
    <x v="2"/>
    <x v="0"/>
    <s v="Accessories"/>
    <n v="165"/>
    <n v="698"/>
    <n v="368"/>
    <n v="52.722063037249278"/>
    <s v="January"/>
    <n v="1"/>
    <n v="52"/>
    <n v="1"/>
  </r>
  <r>
    <s v="website_sales_jan_2025.csv"/>
    <x v="0"/>
    <s v="W-10042"/>
    <x v="28"/>
    <x v="1"/>
    <s v="fatima.hassan@hotmail.com"/>
    <s v="SKU1105"/>
    <n v="1"/>
    <n v="899"/>
    <n v="50"/>
    <s v="Completed"/>
    <x v="1"/>
    <x v="1"/>
    <d v="2022-07-02T00:00:00"/>
    <x v="4"/>
    <x v="2"/>
    <s v="Cleaning"/>
    <n v="520"/>
    <n v="849"/>
    <n v="329"/>
    <n v="38.751472320376912"/>
    <s v="January"/>
    <n v="1"/>
    <n v="32"/>
    <n v="1"/>
  </r>
  <r>
    <s v="website_sales_jan_2025.csv"/>
    <x v="0"/>
    <s v="W-10043"/>
    <x v="29"/>
    <x v="7"/>
    <s v="noura.khalid@yahoo.com"/>
    <s v="SKU3302"/>
    <n v="3"/>
    <n v="45"/>
    <n v="0"/>
    <s v="Completed"/>
    <x v="2"/>
    <x v="3"/>
    <m/>
    <x v="10"/>
    <x v="1"/>
    <s v="Organisation"/>
    <n v="18"/>
    <n v="135"/>
    <n v="81"/>
    <n v="60"/>
    <s v="January"/>
    <n v="1"/>
    <m/>
    <m/>
  </r>
  <r>
    <s v="website_sales_jan_2025.csv"/>
    <x v="0"/>
    <s v="W-10044"/>
    <x v="29"/>
    <x v="3"/>
    <s v="khalid.alblooshi@gmail.com"/>
    <s v="SKU2201"/>
    <n v="1"/>
    <n v="349"/>
    <n v="34.9"/>
    <s v="Completed"/>
    <x v="0"/>
    <x v="0"/>
    <d v="2023-01-22T00:00:00"/>
    <x v="2"/>
    <x v="0"/>
    <s v="Accessories"/>
    <n v="165"/>
    <n v="314.10000000000002"/>
    <n v="149.10000000000002"/>
    <n v="47.468958930276983"/>
    <s v="January"/>
    <n v="1"/>
    <n v="32"/>
    <n v="1"/>
  </r>
  <r>
    <s v="website_sales_jan_2025.csv"/>
    <x v="0"/>
    <s v="W-10045"/>
    <x v="30"/>
    <x v="0"/>
    <s v="ahmed.almarzouqi@gmail.com"/>
    <s v="SKU4401"/>
    <n v="1"/>
    <n v="1299"/>
    <n v="0"/>
    <s v="Completed"/>
    <x v="0"/>
    <x v="0"/>
    <d v="2022-03-15T00:00:00"/>
    <x v="0"/>
    <x v="0"/>
    <s v="TVs"/>
    <n v="820"/>
    <n v="1299"/>
    <n v="479"/>
    <n v="36.87451886066205"/>
    <s v="January"/>
    <n v="1"/>
    <n v="52"/>
    <n v="1"/>
  </r>
  <r>
    <s v="website_sales_jan_2025.csv"/>
    <x v="0"/>
    <s v="W-10047"/>
    <x v="31"/>
    <x v="5"/>
    <s v="omar.farooq@gmail.com"/>
    <s v="SKU2205"/>
    <n v="1"/>
    <n v="529"/>
    <n v="52.9"/>
    <s v="Completed"/>
    <x v="0"/>
    <x v="1"/>
    <d v="2022-11-18T00:00:00"/>
    <x v="9"/>
    <x v="0"/>
    <s v="Audio"/>
    <n v="260"/>
    <n v="476.1"/>
    <n v="216.10000000000002"/>
    <n v="45.389624028565429"/>
    <s v="January"/>
    <n v="1"/>
    <n v="32"/>
    <n v="1"/>
  </r>
  <r>
    <s v="website_sales_jan_2025.csv"/>
    <x v="0"/>
    <s v="W-10048"/>
    <x v="31"/>
    <x v="7"/>
    <s v="zainab.ali@outlook.com"/>
    <s v="SKU3305"/>
    <n v="4"/>
    <n v="29"/>
    <n v="0"/>
    <s v="Completed"/>
    <x v="2"/>
    <x v="3"/>
    <m/>
    <x v="11"/>
    <x v="1"/>
    <s v="Cleaning"/>
    <n v="11"/>
    <n v="116"/>
    <n v="72"/>
    <n v="62.068965517241381"/>
    <s v="January"/>
    <n v="1"/>
    <m/>
    <m/>
  </r>
  <r>
    <s v="website_sales_jan_2025.csv"/>
    <x v="0"/>
    <s v="W-10049"/>
    <x v="32"/>
    <x v="8"/>
    <s v="layla.nasser@gmail.com"/>
    <s v="SKU1105"/>
    <n v="1"/>
    <n v="899"/>
    <n v="0"/>
    <s v="Completed"/>
    <x v="3"/>
    <x v="1"/>
    <d v="2023-01-05T00:00:00"/>
    <x v="4"/>
    <x v="2"/>
    <s v="Cleaning"/>
    <n v="520"/>
    <n v="899"/>
    <n v="379"/>
    <n v="42.157953281423808"/>
    <s v="January"/>
    <n v="1"/>
    <n v="35"/>
    <n v="1"/>
  </r>
  <r>
    <s v="website_sales_jan_2025.csv"/>
    <x v="0"/>
    <s v="W-10050"/>
    <x v="32"/>
    <x v="9"/>
    <s v="hamdan.sultan@gmail.com"/>
    <s v="SKU4403"/>
    <n v="2"/>
    <n v="749"/>
    <n v="75"/>
    <s v="Completed"/>
    <x v="4"/>
    <x v="1"/>
    <d v="2023-08-30T00:00:00"/>
    <x v="6"/>
    <x v="0"/>
    <s v="Tablets"/>
    <n v="490"/>
    <n v="1423"/>
    <n v="443"/>
    <n v="31.131412508784255"/>
    <s v="January"/>
    <n v="1"/>
    <n v="46"/>
    <n v="1"/>
  </r>
  <r>
    <s v="website_sales_jan_2025.csv"/>
    <x v="0"/>
    <s v="W-10051"/>
    <x v="33"/>
    <x v="0"/>
    <s v="ahmed.almarzouqi@gmail.com"/>
    <s v="SKU2209"/>
    <n v="1"/>
    <n v="229"/>
    <n v="0"/>
    <s v="Completed"/>
    <x v="0"/>
    <x v="0"/>
    <d v="2022-03-15T00:00:00"/>
    <x v="14"/>
    <x v="0"/>
    <s v="Wearables"/>
    <n v="110"/>
    <n v="229"/>
    <n v="119"/>
    <n v="51.965065502183407"/>
    <s v="January"/>
    <n v="1"/>
    <n v="52"/>
    <n v="1"/>
  </r>
  <r>
    <s v="website_sales_jan_2025.csv"/>
    <x v="0"/>
    <s v="W-10052"/>
    <x v="33"/>
    <x v="1"/>
    <s v="fatima.hassan@hotmail.com"/>
    <s v="SKU3301"/>
    <n v="6"/>
    <n v="19"/>
    <n v="10"/>
    <s v="Completed"/>
    <x v="1"/>
    <x v="1"/>
    <d v="2022-07-02T00:00:00"/>
    <x v="1"/>
    <x v="1"/>
    <s v="Cleaning"/>
    <n v="8"/>
    <n v="104"/>
    <n v="56"/>
    <n v="53.846153846153847"/>
    <s v="January"/>
    <n v="1"/>
    <n v="32"/>
    <n v="1"/>
  </r>
  <r>
    <s v="website_sales_jan_2025.csv"/>
    <x v="0"/>
    <s v="W-10054"/>
    <x v="34"/>
    <x v="3"/>
    <s v="khalid.alblooshi@gmail.com"/>
    <s v="SKU4401"/>
    <n v="1"/>
    <n v="1299"/>
    <n v="130"/>
    <s v="Completed"/>
    <x v="0"/>
    <x v="0"/>
    <d v="2023-01-22T00:00:00"/>
    <x v="0"/>
    <x v="0"/>
    <s v="TVs"/>
    <n v="820"/>
    <n v="1169"/>
    <n v="349"/>
    <n v="29.854576561163388"/>
    <s v="January"/>
    <n v="1"/>
    <n v="32"/>
    <n v="1"/>
  </r>
  <r>
    <s v="website_sales_jan_2025.csv"/>
    <x v="0"/>
    <s v="W-10055"/>
    <x v="35"/>
    <x v="7"/>
    <s v="mariam.saleh@gmail.com"/>
    <s v="SKU2201"/>
    <n v="2"/>
    <n v="349"/>
    <n v="0"/>
    <s v="Completed"/>
    <x v="2"/>
    <x v="3"/>
    <m/>
    <x v="2"/>
    <x v="0"/>
    <s v="Accessories"/>
    <n v="165"/>
    <n v="698"/>
    <n v="368"/>
    <n v="52.722063037249278"/>
    <s v="January"/>
    <n v="1"/>
    <m/>
    <m/>
  </r>
  <r>
    <s v="website_sales_jan_2025.csv"/>
    <x v="0"/>
    <s v="W-10056"/>
    <x v="35"/>
    <x v="5"/>
    <s v="omar.farooq@gmail.com"/>
    <s v="SKU1106"/>
    <n v="1"/>
    <n v="1099"/>
    <n v="0"/>
    <s v="Completed"/>
    <x v="0"/>
    <x v="1"/>
    <d v="2022-11-18T00:00:00"/>
    <x v="3"/>
    <x v="2"/>
    <s v="Cleaning"/>
    <n v="650"/>
    <n v="1099"/>
    <n v="449"/>
    <n v="40.855323020928111"/>
    <s v="January"/>
    <n v="1"/>
    <n v="32"/>
    <n v="1"/>
  </r>
  <r>
    <s v="website_sales_jan_2025.csv"/>
    <x v="0"/>
    <s v="W-10057"/>
    <x v="36"/>
    <x v="6"/>
    <s v="sara.yousuf@gmail.com"/>
    <s v="SKU3308"/>
    <n v="2"/>
    <n v="89"/>
    <n v="0"/>
    <s v="Completed"/>
    <x v="0"/>
    <x v="1"/>
    <d v="2023-04-14T00:00:00"/>
    <x v="15"/>
    <x v="1"/>
    <s v="Fragrance"/>
    <n v="42"/>
    <n v="178"/>
    <n v="94"/>
    <n v="52.80898876404494"/>
    <s v="January"/>
    <n v="1"/>
    <n v="18"/>
    <n v="1"/>
  </r>
  <r>
    <s v="website_sales_jan_2025.csv"/>
    <x v="0"/>
    <s v="W-10058"/>
    <x v="36"/>
    <x v="11"/>
    <s v="deleted.user@gmail.com"/>
    <s v="SKU2205"/>
    <n v="1"/>
    <n v="529"/>
    <n v="0"/>
    <s v="Completed"/>
    <x v="2"/>
    <x v="3"/>
    <m/>
    <x v="9"/>
    <x v="0"/>
    <s v="Audio"/>
    <n v="260"/>
    <n v="529"/>
    <n v="269"/>
    <n v="50.850661625708881"/>
    <s v="January"/>
    <n v="1"/>
    <n v="1"/>
    <n v="0"/>
  </r>
  <r>
    <s v="website_sales_jan_2025.csv"/>
    <x v="0"/>
    <s v="W-10059"/>
    <x v="37"/>
    <x v="8"/>
    <s v="layla.nasser@gmail.com"/>
    <s v="SKU4404"/>
    <n v="1"/>
    <n v="2199"/>
    <n v="200"/>
    <s v="Completed"/>
    <x v="3"/>
    <x v="1"/>
    <d v="2023-01-05T00:00:00"/>
    <x v="13"/>
    <x v="0"/>
    <s v="TVs"/>
    <n v="1380"/>
    <n v="1999"/>
    <n v="619"/>
    <n v="30.965482741370685"/>
    <s v="January"/>
    <n v="1"/>
    <n v="35"/>
    <n v="1"/>
  </r>
  <r>
    <s v="website_sales_jan_2025.csv"/>
    <x v="0"/>
    <s v="W-10060"/>
    <x v="37"/>
    <x v="9"/>
    <s v="hamdan.sultan@gmail.com"/>
    <s v="SKU1101"/>
    <n v="3"/>
    <n v="199"/>
    <n v="30"/>
    <s v="Completed"/>
    <x v="4"/>
    <x v="1"/>
    <d v="2023-08-30T00:00:00"/>
    <x v="8"/>
    <x v="2"/>
    <s v="Kitchen"/>
    <n v="95"/>
    <n v="567"/>
    <n v="282"/>
    <n v="49.735449735449734"/>
    <s v="January"/>
    <n v="1"/>
    <n v="46"/>
    <n v="1"/>
  </r>
  <r>
    <s v="website_sales_jan_2025.csv"/>
    <x v="0"/>
    <s v="W-10061"/>
    <x v="38"/>
    <x v="1"/>
    <s v="fatima.hassan@hotmail.com"/>
    <s v="SKU2210"/>
    <n v="1"/>
    <n v="189"/>
    <n v="0"/>
    <s v="Completed"/>
    <x v="1"/>
    <x v="1"/>
    <d v="2022-07-02T00:00:00"/>
    <x v="5"/>
    <x v="0"/>
    <s v="Wearables"/>
    <n v="95"/>
    <n v="189"/>
    <n v="94"/>
    <n v="49.735449735449734"/>
    <s v="January"/>
    <n v="1"/>
    <n v="32"/>
    <n v="1"/>
  </r>
  <r>
    <s v="website_sales_jan_2025.csv"/>
    <x v="0"/>
    <s v="W-10062"/>
    <x v="38"/>
    <x v="7"/>
    <s v="ali.mohammed@gmail.com"/>
    <s v="SKU3302"/>
    <n v="2"/>
    <n v="45"/>
    <n v="0"/>
    <s v="Completed"/>
    <x v="2"/>
    <x v="3"/>
    <m/>
    <x v="10"/>
    <x v="1"/>
    <s v="Organisation"/>
    <n v="18"/>
    <n v="90"/>
    <n v="54"/>
    <n v="60"/>
    <s v="January"/>
    <n v="1"/>
    <m/>
    <m/>
  </r>
  <r>
    <s v="website_sales_jan_2025.csv"/>
    <x v="0"/>
    <s v="W-10063"/>
    <x v="39"/>
    <x v="2"/>
    <s v="rashed.alketbi@gmail.com"/>
    <s v="SKU4402"/>
    <n v="1"/>
    <n v="599"/>
    <n v="60"/>
    <s v="Completed"/>
    <x v="0"/>
    <x v="2"/>
    <d v="2023-12-19T00:00:00"/>
    <x v="12"/>
    <x v="0"/>
    <s v="Audio"/>
    <n v="350"/>
    <n v="539"/>
    <n v="189"/>
    <n v="35.064935064935064"/>
    <s v="January"/>
    <n v="1"/>
    <n v="8"/>
    <n v="1"/>
  </r>
  <r>
    <s v="website_sales_jan_2025.csv"/>
    <x v="0"/>
    <s v="W-10064"/>
    <x v="39"/>
    <x v="0"/>
    <s v="ahmed.almarzouqi@gmail.com"/>
    <s v="SKU1105"/>
    <n v="1"/>
    <n v="899"/>
    <n v="89.9"/>
    <s v="Completed"/>
    <x v="0"/>
    <x v="0"/>
    <d v="2022-03-15T00:00:00"/>
    <x v="4"/>
    <x v="2"/>
    <s v="Cleaning"/>
    <n v="520"/>
    <n v="809.1"/>
    <n v="289.10000000000002"/>
    <n v="35.731059201582006"/>
    <s v="January"/>
    <n v="1"/>
    <n v="52"/>
    <n v="1"/>
  </r>
  <r>
    <s v="website_sales_jan_2025.csv"/>
    <x v="0"/>
    <s v="W-10065"/>
    <x v="40"/>
    <x v="5"/>
    <s v="omar.farooq@gmail.com"/>
    <s v="SKU2201"/>
    <n v="2"/>
    <n v="349"/>
    <n v="0"/>
    <s v="Completed"/>
    <x v="0"/>
    <x v="1"/>
    <d v="2022-11-18T00:00:00"/>
    <x v="2"/>
    <x v="0"/>
    <s v="Accessories"/>
    <n v="165"/>
    <n v="698"/>
    <n v="368"/>
    <n v="52.722063037249278"/>
    <s v="January"/>
    <n v="1"/>
    <n v="32"/>
    <n v="1"/>
  </r>
  <r>
    <s v="website_sales_jan_2025.csv"/>
    <x v="0"/>
    <s v="W-10066"/>
    <x v="41"/>
    <x v="3"/>
    <s v="khalid.alblooshi@gmail.com"/>
    <s v="SKU3305"/>
    <n v="5"/>
    <n v="29"/>
    <n v="0"/>
    <s v="Completed"/>
    <x v="0"/>
    <x v="0"/>
    <d v="2023-01-22T00:00:00"/>
    <x v="11"/>
    <x v="1"/>
    <s v="Cleaning"/>
    <n v="11"/>
    <n v="145"/>
    <n v="90"/>
    <n v="62.068965517241381"/>
    <s v="January"/>
    <n v="1"/>
    <n v="32"/>
    <n v="1"/>
  </r>
  <r>
    <s v="website_sales_jan_2025.csv"/>
    <x v="0"/>
    <s v="W-10067"/>
    <x v="41"/>
    <x v="7"/>
    <s v="nadia.ibrahim@hotmail.com"/>
    <s v="SKU1103"/>
    <n v="1"/>
    <n v="459"/>
    <n v="45.9"/>
    <s v="Completed"/>
    <x v="2"/>
    <x v="3"/>
    <m/>
    <x v="7"/>
    <x v="2"/>
    <s v="Kitchen"/>
    <n v="210"/>
    <n v="413.1"/>
    <n v="203.10000000000002"/>
    <n v="49.164851125635444"/>
    <s v="January"/>
    <n v="1"/>
    <m/>
    <m/>
  </r>
  <r>
    <s v="website_sales_jan_2025.csv"/>
    <x v="0"/>
    <s v="W-10069"/>
    <x v="42"/>
    <x v="9"/>
    <s v="hamdan.sultan@gmail.com"/>
    <s v="SKU2209"/>
    <n v="2"/>
    <n v="229"/>
    <n v="22.9"/>
    <s v="Completed"/>
    <x v="4"/>
    <x v="1"/>
    <d v="2023-08-30T00:00:00"/>
    <x v="14"/>
    <x v="0"/>
    <s v="Wearables"/>
    <n v="110"/>
    <n v="435.1"/>
    <n v="215.10000000000002"/>
    <n v="49.436911054929908"/>
    <s v="January"/>
    <n v="1"/>
    <n v="46"/>
    <n v="1"/>
  </r>
  <r>
    <s v="website_sales_jan_2025.csv"/>
    <x v="0"/>
    <s v="W-10070"/>
    <x v="43"/>
    <x v="8"/>
    <s v="layla.nasser@gmail.com"/>
    <s v="SKU3301"/>
    <n v="4"/>
    <n v="19"/>
    <n v="0"/>
    <s v="Completed"/>
    <x v="3"/>
    <x v="1"/>
    <d v="2023-01-05T00:00:00"/>
    <x v="1"/>
    <x v="1"/>
    <s v="Cleaning"/>
    <n v="8"/>
    <n v="76"/>
    <n v="44"/>
    <n v="57.894736842105267"/>
    <s v="January"/>
    <n v="1"/>
    <n v="35"/>
    <n v="1"/>
  </r>
  <r>
    <s v="website_sales_jan_2025.csv"/>
    <x v="0"/>
    <s v="W-10071"/>
    <x v="43"/>
    <x v="1"/>
    <s v="fatima.hassan@hotmail.com"/>
    <s v="SKU1106"/>
    <n v="1"/>
    <n v="1099"/>
    <n v="100"/>
    <s v="Completed"/>
    <x v="1"/>
    <x v="1"/>
    <d v="2022-07-02T00:00:00"/>
    <x v="3"/>
    <x v="2"/>
    <s v="Cleaning"/>
    <n v="650"/>
    <n v="999"/>
    <n v="349"/>
    <n v="34.934934934934937"/>
    <s v="January"/>
    <n v="1"/>
    <n v="32"/>
    <n v="1"/>
  </r>
  <r>
    <s v="website_sales_jan_2025.csv"/>
    <x v="0"/>
    <s v="W-10072"/>
    <x v="44"/>
    <x v="7"/>
    <s v="yousef.almazrouei@gmail.com"/>
    <s v="SKU4403"/>
    <n v="1"/>
    <n v="749"/>
    <n v="0"/>
    <s v="Completed"/>
    <x v="2"/>
    <x v="3"/>
    <m/>
    <x v="6"/>
    <x v="0"/>
    <s v="Tablets"/>
    <n v="490"/>
    <n v="749"/>
    <n v="259"/>
    <n v="34.579439252336449"/>
    <s v="January"/>
    <n v="1"/>
    <m/>
    <m/>
  </r>
  <r>
    <s v="website_sales_jan_2025.csv"/>
    <x v="0"/>
    <s v="W-10073"/>
    <x v="45"/>
    <x v="2"/>
    <s v="rashed.alketbi@gmail.com"/>
    <s v="SKU2205"/>
    <n v="1"/>
    <n v="529"/>
    <n v="0"/>
    <s v="Completed"/>
    <x v="0"/>
    <x v="2"/>
    <d v="2023-12-19T00:00:00"/>
    <x v="9"/>
    <x v="0"/>
    <s v="Audio"/>
    <n v="260"/>
    <n v="529"/>
    <n v="269"/>
    <n v="50.850661625708881"/>
    <s v="January"/>
    <n v="1"/>
    <n v="8"/>
    <n v="1"/>
  </r>
  <r>
    <s v="website_sales_jan_2025.csv"/>
    <x v="0"/>
    <s v="W-10074"/>
    <x v="45"/>
    <x v="0"/>
    <s v="ahmed.almarzouqi@gmail.com"/>
    <s v="SKU3308"/>
    <n v="3"/>
    <n v="89"/>
    <n v="0"/>
    <s v="Completed"/>
    <x v="0"/>
    <x v="0"/>
    <d v="2022-03-15T00:00:00"/>
    <x v="15"/>
    <x v="1"/>
    <s v="Fragrance"/>
    <n v="42"/>
    <n v="267"/>
    <n v="141"/>
    <n v="52.80898876404494"/>
    <s v="January"/>
    <n v="1"/>
    <n v="52"/>
    <n v="1"/>
  </r>
  <r>
    <s v="website_sales_jan_2025.csv"/>
    <x v="0"/>
    <s v="W-10075"/>
    <x v="46"/>
    <x v="3"/>
    <s v="khalid.alblooshi@gmail.com"/>
    <s v="SKU1101"/>
    <n v="2"/>
    <n v="199"/>
    <n v="0"/>
    <s v="Completed"/>
    <x v="0"/>
    <x v="0"/>
    <d v="2023-01-22T00:00:00"/>
    <x v="8"/>
    <x v="2"/>
    <s v="Kitchen"/>
    <n v="95"/>
    <n v="398"/>
    <n v="208"/>
    <n v="52.261306532663319"/>
    <s v="January"/>
    <n v="1"/>
    <n v="32"/>
    <n v="1"/>
  </r>
  <r>
    <s v="website_sales_jan_2025.csv"/>
    <x v="0"/>
    <s v="W-10077"/>
    <x v="47"/>
    <x v="7"/>
    <s v="hessa.alfalasi@gmail.com"/>
    <s v="SKU2210"/>
    <n v="2"/>
    <n v="189"/>
    <n v="18.899999999999999"/>
    <s v="Completed"/>
    <x v="2"/>
    <x v="3"/>
    <m/>
    <x v="5"/>
    <x v="0"/>
    <s v="Wearables"/>
    <n v="95"/>
    <n v="359.1"/>
    <n v="169.10000000000002"/>
    <n v="47.089947089947096"/>
    <s v="January"/>
    <n v="1"/>
    <m/>
    <m/>
  </r>
  <r>
    <s v="website_sales_jan_2025.csv"/>
    <x v="0"/>
    <s v="W-10078"/>
    <x v="48"/>
    <x v="6"/>
    <s v="sara.yousuf@gmail.com"/>
    <s v="SKU3302"/>
    <n v="4"/>
    <n v="45"/>
    <n v="0"/>
    <s v="Completed"/>
    <x v="0"/>
    <x v="1"/>
    <d v="2023-04-14T00:00:00"/>
    <x v="10"/>
    <x v="1"/>
    <s v="Organisation"/>
    <n v="18"/>
    <n v="180"/>
    <n v="108"/>
    <n v="60"/>
    <s v="January"/>
    <n v="1"/>
    <n v="18"/>
    <n v="1"/>
  </r>
  <r>
    <s v="website_sales_jan_2025.csv"/>
    <x v="0"/>
    <s v="W-10079"/>
    <x v="49"/>
    <x v="9"/>
    <s v="hamdan.sultan@gmail.com"/>
    <s v="SKU1105"/>
    <n v="1"/>
    <n v="899"/>
    <n v="0"/>
    <s v="Completed"/>
    <x v="4"/>
    <x v="1"/>
    <d v="2023-08-30T00:00:00"/>
    <x v="4"/>
    <x v="2"/>
    <s v="Cleaning"/>
    <n v="520"/>
    <n v="899"/>
    <n v="379"/>
    <n v="42.157953281423808"/>
    <s v="January"/>
    <n v="1"/>
    <n v="46"/>
    <n v="1"/>
  </r>
  <r>
    <s v="website_sales_jan_2025.csv"/>
    <x v="0"/>
    <s v="W-10080"/>
    <x v="49"/>
    <x v="8"/>
    <s v="layla.nasser@gmail.com"/>
    <s v="SKU2201"/>
    <n v="1"/>
    <n v="349"/>
    <n v="34.9"/>
    <s v="Completed"/>
    <x v="3"/>
    <x v="1"/>
    <d v="2023-01-05T00:00:00"/>
    <x v="2"/>
    <x v="0"/>
    <s v="Accessories"/>
    <n v="165"/>
    <n v="314.10000000000002"/>
    <n v="149.10000000000002"/>
    <n v="47.468958930276983"/>
    <s v="January"/>
    <n v="1"/>
    <n v="35"/>
    <n v="1"/>
  </r>
  <r>
    <s v="website_sales_jan_2025.csv"/>
    <x v="0"/>
    <s v="W-10081"/>
    <x v="50"/>
    <x v="1"/>
    <s v="fatima.hassan@hotmail.com"/>
    <s v="SKU4401"/>
    <n v="1"/>
    <n v="1299"/>
    <n v="130"/>
    <s v="Completed"/>
    <x v="1"/>
    <x v="1"/>
    <d v="2022-07-02T00:00:00"/>
    <x v="0"/>
    <x v="0"/>
    <s v="TVs"/>
    <n v="820"/>
    <n v="1169"/>
    <n v="349"/>
    <n v="29.854576561163388"/>
    <s v="January"/>
    <n v="1"/>
    <n v="32"/>
    <n v="1"/>
  </r>
  <r>
    <s v="website_sales_jan_2025.csv"/>
    <x v="0"/>
    <s v="W-10082"/>
    <x v="50"/>
    <x v="7"/>
    <s v="tariq.hussain@gmail.com"/>
    <s v="SKU3305"/>
    <n v="3"/>
    <n v="29"/>
    <n v="0"/>
    <s v="Completed"/>
    <x v="2"/>
    <x v="3"/>
    <m/>
    <x v="11"/>
    <x v="1"/>
    <s v="Cleaning"/>
    <n v="11"/>
    <n v="87"/>
    <n v="54"/>
    <n v="62.068965517241381"/>
    <s v="January"/>
    <n v="1"/>
    <m/>
    <m/>
  </r>
  <r>
    <s v="website_sales_jan_2025.csv"/>
    <x v="0"/>
    <s v="W-10083"/>
    <x v="51"/>
    <x v="2"/>
    <s v="rashed.alketbi@gmail.com"/>
    <s v="SKU1103"/>
    <n v="1"/>
    <n v="459"/>
    <n v="0"/>
    <s v="Completed"/>
    <x v="0"/>
    <x v="2"/>
    <d v="2023-12-19T00:00:00"/>
    <x v="7"/>
    <x v="2"/>
    <s v="Kitchen"/>
    <n v="210"/>
    <n v="459"/>
    <n v="249"/>
    <n v="54.248366013071895"/>
    <s v="January"/>
    <n v="1"/>
    <n v="8"/>
    <n v="1"/>
  </r>
  <r>
    <s v="website_sales_jan_2025.csv"/>
    <x v="0"/>
    <s v="W-10084"/>
    <x v="52"/>
    <x v="0"/>
    <s v="ahmed.almarzouqi@gmail.com"/>
    <s v="SKU2205"/>
    <n v="2"/>
    <n v="529"/>
    <n v="53"/>
    <s v="Completed"/>
    <x v="0"/>
    <x v="0"/>
    <d v="2022-03-15T00:00:00"/>
    <x v="9"/>
    <x v="0"/>
    <s v="Audio"/>
    <n v="260"/>
    <n v="1005"/>
    <n v="485"/>
    <n v="48.258706467661696"/>
    <s v="January"/>
    <n v="1"/>
    <n v="52"/>
    <n v="1"/>
  </r>
  <r>
    <s v="website_sales_jan_2025.csv"/>
    <x v="0"/>
    <s v="W-10085"/>
    <x v="52"/>
    <x v="3"/>
    <s v="khalid.alblooshi@gmail.com"/>
    <s v="SKU4402"/>
    <n v="1"/>
    <n v="599"/>
    <n v="0"/>
    <s v="Completed"/>
    <x v="0"/>
    <x v="0"/>
    <d v="2023-01-22T00:00:00"/>
    <x v="12"/>
    <x v="0"/>
    <s v="Audio"/>
    <n v="350"/>
    <n v="599"/>
    <n v="249"/>
    <n v="41.569282136894827"/>
    <s v="January"/>
    <n v="1"/>
    <n v="32"/>
    <n v="1"/>
  </r>
  <r>
    <s v="website_sales_jan_2025.csv"/>
    <x v="0"/>
    <s v="W-10086"/>
    <x v="53"/>
    <x v="7"/>
    <s v="moza.alsuwaidi@gmail.com"/>
    <s v="SKU1106"/>
    <n v="1"/>
    <n v="1099"/>
    <n v="0"/>
    <s v="Completed"/>
    <x v="2"/>
    <x v="3"/>
    <m/>
    <x v="3"/>
    <x v="2"/>
    <s v="Cleaning"/>
    <n v="650"/>
    <n v="1099"/>
    <n v="449"/>
    <n v="40.855323020928111"/>
    <s v="January"/>
    <n v="1"/>
    <m/>
    <m/>
  </r>
  <r>
    <s v="website_sales_jan_2025.csv"/>
    <x v="0"/>
    <s v="W-10087"/>
    <x v="54"/>
    <x v="5"/>
    <s v="omar.farooq@gmail.com"/>
    <s v="SKU3301"/>
    <n v="5"/>
    <n v="19"/>
    <n v="0"/>
    <s v="Completed"/>
    <x v="0"/>
    <x v="1"/>
    <d v="2022-11-18T00:00:00"/>
    <x v="1"/>
    <x v="1"/>
    <s v="Cleaning"/>
    <n v="8"/>
    <n v="95"/>
    <n v="55"/>
    <n v="57.894736842105267"/>
    <s v="January"/>
    <n v="1"/>
    <n v="32"/>
    <n v="1"/>
  </r>
  <r>
    <s v="website_sales_jan_2025.csv"/>
    <x v="0"/>
    <s v="W-10088"/>
    <x v="54"/>
    <x v="6"/>
    <s v="sara.yousuf@gmail.com"/>
    <s v="SKU2209"/>
    <n v="1"/>
    <n v="229"/>
    <n v="0"/>
    <s v="Completed"/>
    <x v="0"/>
    <x v="1"/>
    <d v="2023-04-14T00:00:00"/>
    <x v="14"/>
    <x v="0"/>
    <s v="Wearables"/>
    <n v="110"/>
    <n v="229"/>
    <n v="119"/>
    <n v="51.965065502183407"/>
    <s v="January"/>
    <n v="1"/>
    <n v="18"/>
    <n v="1"/>
  </r>
  <r>
    <s v="website_sales_jan_2025.csv"/>
    <x v="0"/>
    <s v="W-10089"/>
    <x v="55"/>
    <x v="9"/>
    <s v="hamdan.sultan@gmail.com"/>
    <s v="SKU4403"/>
    <n v="1"/>
    <n v="749"/>
    <n v="74.900000000000006"/>
    <s v="Completed"/>
    <x v="4"/>
    <x v="1"/>
    <d v="2023-08-30T00:00:00"/>
    <x v="6"/>
    <x v="0"/>
    <s v="Tablets"/>
    <n v="490"/>
    <n v="674.1"/>
    <n v="184.10000000000002"/>
    <n v="27.310488058151609"/>
    <s v="January"/>
    <n v="1"/>
    <n v="46"/>
    <n v="1"/>
  </r>
  <r>
    <s v="website_sales_jan_2025.csv"/>
    <x v="0"/>
    <s v="W-10090"/>
    <x v="55"/>
    <x v="8"/>
    <s v="layla.nasser@gmail.com"/>
    <s v="SKU3308"/>
    <n v="2"/>
    <n v="89"/>
    <n v="0"/>
    <s v="Completed"/>
    <x v="3"/>
    <x v="1"/>
    <d v="2023-01-05T00:00:00"/>
    <x v="15"/>
    <x v="1"/>
    <s v="Fragrance"/>
    <n v="42"/>
    <n v="178"/>
    <n v="94"/>
    <n v="52.80898876404494"/>
    <s v="January"/>
    <n v="1"/>
    <n v="35"/>
    <n v="1"/>
  </r>
  <r>
    <s v="website_sales_jan_2025.csv"/>
    <x v="0"/>
    <s v="W-10091"/>
    <x v="56"/>
    <x v="7"/>
    <s v="amna.rashid@yahoo.com"/>
    <s v="SKU1101"/>
    <n v="1"/>
    <n v="199"/>
    <n v="0"/>
    <s v="Completed"/>
    <x v="2"/>
    <x v="3"/>
    <m/>
    <x v="8"/>
    <x v="2"/>
    <s v="Kitchen"/>
    <n v="95"/>
    <n v="199"/>
    <n v="104"/>
    <n v="52.261306532663319"/>
    <s v="January"/>
    <n v="1"/>
    <m/>
    <m/>
  </r>
  <r>
    <s v="website_sales_jan_2025.csv"/>
    <x v="0"/>
    <s v="W-10092"/>
    <x v="56"/>
    <x v="1"/>
    <s v="fatima.hassan@hotmail.com"/>
    <s v="SKU2201"/>
    <n v="1"/>
    <n v="349"/>
    <n v="0"/>
    <s v="Completed"/>
    <x v="1"/>
    <x v="1"/>
    <d v="2022-07-02T00:00:00"/>
    <x v="2"/>
    <x v="0"/>
    <s v="Accessories"/>
    <n v="165"/>
    <n v="349"/>
    <n v="184"/>
    <n v="52.722063037249278"/>
    <s v="January"/>
    <n v="1"/>
    <n v="32"/>
    <n v="1"/>
  </r>
  <r>
    <s v="website_sales_jan_2025.csv"/>
    <x v="0"/>
    <s v="W-10093"/>
    <x v="57"/>
    <x v="2"/>
    <s v="rashed.alketbi@gmail.com"/>
    <s v="SKU4404"/>
    <n v="1"/>
    <n v="2199"/>
    <n v="219.9"/>
    <s v="Completed"/>
    <x v="0"/>
    <x v="2"/>
    <d v="2023-12-19T00:00:00"/>
    <x v="13"/>
    <x v="0"/>
    <s v="TVs"/>
    <n v="1380"/>
    <n v="1979.1"/>
    <n v="599.09999999999991"/>
    <n v="30.27133545551008"/>
    <s v="January"/>
    <n v="1"/>
    <n v="8"/>
    <n v="1"/>
  </r>
  <r>
    <s v="website_sales_jan_2025.csv"/>
    <x v="0"/>
    <s v="W-10094"/>
    <x v="57"/>
    <x v="0"/>
    <s v="ahmed.almarzouqi@gmail.com"/>
    <s v="SKU3302"/>
    <n v="2"/>
    <n v="45"/>
    <n v="0"/>
    <s v="Completed"/>
    <x v="0"/>
    <x v="0"/>
    <d v="2022-03-15T00:00:00"/>
    <x v="10"/>
    <x v="1"/>
    <s v="Organisation"/>
    <n v="18"/>
    <n v="90"/>
    <n v="54"/>
    <n v="60"/>
    <s v="January"/>
    <n v="1"/>
    <n v="52"/>
    <n v="1"/>
  </r>
  <r>
    <s v="website_sales_jan_2025.csv"/>
    <x v="0"/>
    <s v="W-10095"/>
    <x v="58"/>
    <x v="3"/>
    <s v="khalid.alblooshi@gmail.com"/>
    <s v="SKU1105"/>
    <n v="1"/>
    <n v="899"/>
    <n v="0"/>
    <s v="Completed"/>
    <x v="0"/>
    <x v="0"/>
    <d v="2023-01-22T00:00:00"/>
    <x v="4"/>
    <x v="2"/>
    <s v="Cleaning"/>
    <n v="520"/>
    <n v="899"/>
    <n v="379"/>
    <n v="42.157953281423808"/>
    <s v="January"/>
    <n v="1"/>
    <n v="32"/>
    <n v="1"/>
  </r>
  <r>
    <s v="website_sales_jan_2025.csv"/>
    <x v="0"/>
    <s v="W-10096"/>
    <x v="58"/>
    <x v="7"/>
    <s v="bilal.qureshi@gmail.com"/>
    <s v="SKU2210"/>
    <n v="1"/>
    <n v="189"/>
    <n v="19"/>
    <s v="Completed"/>
    <x v="2"/>
    <x v="3"/>
    <m/>
    <x v="5"/>
    <x v="0"/>
    <s v="Wearables"/>
    <n v="95"/>
    <n v="170"/>
    <n v="75"/>
    <n v="44.117647058823529"/>
    <s v="January"/>
    <n v="1"/>
    <m/>
    <m/>
  </r>
  <r>
    <s v="website_sales_mar_2025.csv"/>
    <x v="0"/>
    <s v="W-10153"/>
    <x v="59"/>
    <x v="0"/>
    <s v="ahmed.almarzouqi@gmail.com"/>
    <s v="SKU4404"/>
    <n v="1"/>
    <n v="2199"/>
    <n v="220"/>
    <s v="Completed"/>
    <x v="0"/>
    <x v="0"/>
    <d v="2022-03-15T00:00:00"/>
    <x v="13"/>
    <x v="0"/>
    <s v="TVs"/>
    <n v="1380"/>
    <n v="1979"/>
    <n v="599"/>
    <n v="30.267812026275898"/>
    <s v="March"/>
    <n v="1"/>
    <n v="52"/>
    <n v="1"/>
  </r>
  <r>
    <s v="website_sales_mar_2025.csv"/>
    <x v="0"/>
    <s v="W-10154"/>
    <x v="59"/>
    <x v="3"/>
    <s v="khalid.alblooshi@gmail.com"/>
    <s v="SKU2201"/>
    <n v="2"/>
    <n v="349"/>
    <n v="34.9"/>
    <s v="Completed"/>
    <x v="0"/>
    <x v="0"/>
    <d v="2023-01-22T00:00:00"/>
    <x v="2"/>
    <x v="0"/>
    <s v="Accessories"/>
    <n v="165"/>
    <n v="663.1"/>
    <n v="333.1"/>
    <n v="50.233750565525561"/>
    <s v="March"/>
    <n v="1"/>
    <n v="32"/>
    <n v="1"/>
  </r>
  <r>
    <s v="website_sales_mar_2025.csv"/>
    <x v="0"/>
    <s v="W-10155"/>
    <x v="60"/>
    <x v="7"/>
    <s v="sara.new@gmail.com"/>
    <s v="SKU3302"/>
    <n v="3"/>
    <n v="45"/>
    <n v="0"/>
    <s v="Completed"/>
    <x v="2"/>
    <x v="3"/>
    <m/>
    <x v="10"/>
    <x v="1"/>
    <s v="Organisation"/>
    <n v="18"/>
    <n v="135"/>
    <n v="81"/>
    <n v="60"/>
    <s v="March"/>
    <n v="1"/>
    <m/>
    <m/>
  </r>
  <r>
    <s v="website_sales_mar_2025.csv"/>
    <x v="0"/>
    <s v="W-10156"/>
    <x v="60"/>
    <x v="4"/>
    <s v="hassan.alali@gmail.com"/>
    <s v="SKU1105"/>
    <n v="1"/>
    <n v="899"/>
    <n v="90"/>
    <s v="Completed"/>
    <x v="0"/>
    <x v="2"/>
    <d v="2025-01-28T00:00:00"/>
    <x v="4"/>
    <x v="2"/>
    <s v="Cleaning"/>
    <n v="520"/>
    <n v="809"/>
    <n v="289"/>
    <n v="35.723114956736715"/>
    <s v="March"/>
    <n v="1"/>
    <n v="10"/>
    <n v="1"/>
  </r>
  <r>
    <s v="website_sales_mar_2025.csv"/>
    <x v="0"/>
    <s v="W-10157"/>
    <x v="61"/>
    <x v="12"/>
    <s v="ali.alshehhi@gmail.com"/>
    <s v="SKU4401"/>
    <n v="1"/>
    <n v="1299"/>
    <n v="130"/>
    <s v="Completed"/>
    <x v="2"/>
    <x v="3"/>
    <m/>
    <x v="0"/>
    <x v="0"/>
    <s v="TVs"/>
    <n v="820"/>
    <n v="1169"/>
    <n v="349"/>
    <n v="29.854576561163388"/>
    <s v="March"/>
    <n v="1"/>
    <n v="5"/>
    <n v="1"/>
  </r>
  <r>
    <s v="website_sales_mar_2025.csv"/>
    <x v="0"/>
    <s v="W-10158"/>
    <x v="61"/>
    <x v="6"/>
    <s v="sara.yousuf@gmail.com"/>
    <s v="SKU2205"/>
    <n v="1"/>
    <n v="529"/>
    <n v="52.9"/>
    <s v="Completed"/>
    <x v="0"/>
    <x v="1"/>
    <d v="2023-04-14T00:00:00"/>
    <x v="9"/>
    <x v="0"/>
    <s v="Audio"/>
    <n v="260"/>
    <n v="476.1"/>
    <n v="216.10000000000002"/>
    <n v="45.389624028565429"/>
    <s v="March"/>
    <n v="1"/>
    <n v="18"/>
    <n v="1"/>
  </r>
  <r>
    <s v="website_sales_mar_2025.csv"/>
    <x v="0"/>
    <s v="W-10159"/>
    <x v="62"/>
    <x v="5"/>
    <s v="omar.farooq@gmail.com"/>
    <s v="SKU1101"/>
    <n v="2"/>
    <n v="199"/>
    <n v="0"/>
    <s v="Completed"/>
    <x v="0"/>
    <x v="1"/>
    <d v="2022-11-18T00:00:00"/>
    <x v="8"/>
    <x v="2"/>
    <s v="Kitchen"/>
    <n v="95"/>
    <n v="398"/>
    <n v="208"/>
    <n v="52.261306532663319"/>
    <s v="March"/>
    <n v="1"/>
    <n v="32"/>
    <n v="1"/>
  </r>
  <r>
    <s v="website_sales_mar_2025.csv"/>
    <x v="0"/>
    <s v="W-10160"/>
    <x v="62"/>
    <x v="7"/>
    <s v="lara.guest@outlook.com"/>
    <s v="SKU3305"/>
    <n v="4"/>
    <n v="29"/>
    <n v="0"/>
    <s v="Completed"/>
    <x v="2"/>
    <x v="3"/>
    <m/>
    <x v="11"/>
    <x v="1"/>
    <s v="Cleaning"/>
    <n v="11"/>
    <n v="116"/>
    <n v="72"/>
    <n v="62.068965517241381"/>
    <s v="March"/>
    <n v="1"/>
    <m/>
    <m/>
  </r>
  <r>
    <s v="website_sales_mar_2025.csv"/>
    <x v="0"/>
    <s v="W-10161"/>
    <x v="63"/>
    <x v="8"/>
    <s v="layla.nasser@gmail.com"/>
    <s v="SKU4403"/>
    <n v="1"/>
    <n v="749"/>
    <n v="75"/>
    <s v="Completed"/>
    <x v="3"/>
    <x v="1"/>
    <d v="2023-01-05T00:00:00"/>
    <x v="6"/>
    <x v="0"/>
    <s v="Tablets"/>
    <n v="490"/>
    <n v="674"/>
    <n v="184"/>
    <n v="27.299703264094955"/>
    <s v="March"/>
    <n v="1"/>
    <n v="35"/>
    <n v="1"/>
  </r>
  <r>
    <s v="website_sales_mar_2025.csv"/>
    <x v="0"/>
    <s v="W-10162"/>
    <x v="63"/>
    <x v="9"/>
    <s v="hamdan.sultan@gmail.com"/>
    <s v="SKU2209"/>
    <n v="2"/>
    <n v="229"/>
    <n v="22.9"/>
    <s v="Completed"/>
    <x v="4"/>
    <x v="1"/>
    <d v="2023-08-30T00:00:00"/>
    <x v="14"/>
    <x v="0"/>
    <s v="Wearables"/>
    <n v="110"/>
    <n v="435.1"/>
    <n v="215.10000000000002"/>
    <n v="49.436911054929908"/>
    <s v="March"/>
    <n v="1"/>
    <n v="46"/>
    <n v="1"/>
  </r>
  <r>
    <s v="website_sales_mar_2025.csv"/>
    <x v="0"/>
    <s v="W-10163"/>
    <x v="64"/>
    <x v="12"/>
    <s v="ali.alshehhi@gmail.com"/>
    <s v="SKU1103"/>
    <n v="1"/>
    <n v="459"/>
    <n v="46"/>
    <s v="Completed"/>
    <x v="2"/>
    <x v="3"/>
    <m/>
    <x v="7"/>
    <x v="2"/>
    <s v="Kitchen"/>
    <n v="210"/>
    <n v="413"/>
    <n v="203"/>
    <n v="49.152542372881356"/>
    <s v="March"/>
    <n v="1"/>
    <n v="5"/>
    <n v="1"/>
  </r>
  <r>
    <s v="website_sales_mar_2025.csv"/>
    <x v="0"/>
    <s v="W-10164"/>
    <x v="64"/>
    <x v="0"/>
    <s v="ahmed.almarzouqi@gmail.com"/>
    <s v="SKU3301"/>
    <n v="5"/>
    <n v="19"/>
    <n v="0"/>
    <s v="Completed"/>
    <x v="0"/>
    <x v="0"/>
    <d v="2022-03-15T00:00:00"/>
    <x v="1"/>
    <x v="1"/>
    <s v="Cleaning"/>
    <n v="8"/>
    <n v="95"/>
    <n v="55"/>
    <n v="57.894736842105267"/>
    <s v="March"/>
    <n v="1"/>
    <n v="52"/>
    <n v="1"/>
  </r>
  <r>
    <s v="website_sales_mar_2025.csv"/>
    <x v="0"/>
    <s v="W-10165"/>
    <x v="65"/>
    <x v="7"/>
    <s v="noor.guest@gmail.com"/>
    <s v="SKU4402"/>
    <n v="1"/>
    <n v="599"/>
    <n v="60"/>
    <s v="Completed"/>
    <x v="2"/>
    <x v="3"/>
    <m/>
    <x v="12"/>
    <x v="0"/>
    <s v="Audio"/>
    <n v="350"/>
    <n v="539"/>
    <n v="189"/>
    <n v="35.064935064935064"/>
    <s v="March"/>
    <n v="1"/>
    <m/>
    <m/>
  </r>
  <r>
    <s v="website_sales_mar_2025.csv"/>
    <x v="0"/>
    <s v="W-10166"/>
    <x v="65"/>
    <x v="3"/>
    <s v="khalid.alblooshi@gmail.com"/>
    <s v="SKU2210"/>
    <n v="1"/>
    <n v="189"/>
    <n v="19"/>
    <s v="Completed"/>
    <x v="0"/>
    <x v="0"/>
    <d v="2023-01-22T00:00:00"/>
    <x v="5"/>
    <x v="0"/>
    <s v="Wearables"/>
    <n v="95"/>
    <n v="170"/>
    <n v="75"/>
    <n v="44.117647058823529"/>
    <s v="March"/>
    <n v="1"/>
    <n v="32"/>
    <n v="1"/>
  </r>
  <r>
    <s v="website_sales_mar_2025.csv"/>
    <x v="0"/>
    <s v="W-10167"/>
    <x v="66"/>
    <x v="1"/>
    <s v="fatima.hassan@hotmail.com"/>
    <s v="SKU1106"/>
    <n v="1"/>
    <n v="1099"/>
    <n v="110"/>
    <s v="Completed"/>
    <x v="1"/>
    <x v="1"/>
    <d v="2022-07-02T00:00:00"/>
    <x v="3"/>
    <x v="2"/>
    <s v="Cleaning"/>
    <n v="650"/>
    <n v="989"/>
    <n v="339"/>
    <n v="34.277047522750252"/>
    <s v="March"/>
    <n v="1"/>
    <n v="32"/>
    <n v="1"/>
  </r>
  <r>
    <s v="website_sales_mar_2025.csv"/>
    <x v="0"/>
    <s v="W-10168"/>
    <x v="66"/>
    <x v="10"/>
    <s v="priya.nair@gmail.com"/>
    <s v="SKU3308"/>
    <n v="2"/>
    <n v="89"/>
    <n v="0"/>
    <s v="Completed"/>
    <x v="0"/>
    <x v="2"/>
    <d v="2025-01-30T00:00:00"/>
    <x v="15"/>
    <x v="1"/>
    <s v="Fragrance"/>
    <n v="42"/>
    <n v="178"/>
    <n v="94"/>
    <n v="52.80898876404494"/>
    <s v="March"/>
    <n v="1"/>
    <n v="10"/>
    <n v="1"/>
  </r>
  <r>
    <s v="website_sales_mar_2025.csv"/>
    <x v="0"/>
    <s v="W-10170"/>
    <x v="67"/>
    <x v="2"/>
    <s v="rashed.alketbi@gmail.com"/>
    <s v="SKU2201"/>
    <n v="1"/>
    <n v="349"/>
    <n v="34.9"/>
    <s v="Completed"/>
    <x v="0"/>
    <x v="2"/>
    <d v="2023-12-19T00:00:00"/>
    <x v="2"/>
    <x v="0"/>
    <s v="Accessories"/>
    <n v="165"/>
    <n v="314.10000000000002"/>
    <n v="149.10000000000002"/>
    <n v="47.468958930276983"/>
    <s v="March"/>
    <n v="1"/>
    <n v="8"/>
    <n v="1"/>
  </r>
  <r>
    <s v="website_sales_mar_2025.csv"/>
    <x v="0"/>
    <s v="W-10171"/>
    <x v="68"/>
    <x v="7"/>
    <s v="fatma.guest@yahoo.com"/>
    <s v="SKU1105"/>
    <n v="1"/>
    <n v="899"/>
    <n v="0"/>
    <s v="Completed"/>
    <x v="2"/>
    <x v="3"/>
    <m/>
    <x v="4"/>
    <x v="2"/>
    <s v="Cleaning"/>
    <n v="520"/>
    <n v="899"/>
    <n v="379"/>
    <n v="42.157953281423808"/>
    <s v="March"/>
    <n v="1"/>
    <m/>
    <m/>
  </r>
  <r>
    <s v="website_sales_mar_2025.csv"/>
    <x v="0"/>
    <s v="W-10172"/>
    <x v="68"/>
    <x v="9"/>
    <s v="hamdan.sultan@gmail.com"/>
    <s v="SKU3302"/>
    <n v="4"/>
    <n v="45"/>
    <n v="0"/>
    <s v="Completed"/>
    <x v="4"/>
    <x v="1"/>
    <d v="2023-08-30T00:00:00"/>
    <x v="10"/>
    <x v="1"/>
    <s v="Organisation"/>
    <n v="18"/>
    <n v="180"/>
    <n v="108"/>
    <n v="60"/>
    <s v="March"/>
    <n v="1"/>
    <n v="46"/>
    <n v="1"/>
  </r>
  <r>
    <s v="website_sales_mar_2025.csv"/>
    <x v="0"/>
    <s v="W-10173"/>
    <x v="69"/>
    <x v="4"/>
    <s v="hassan.alali@gmail.com"/>
    <s v="SKU4403"/>
    <n v="2"/>
    <n v="749"/>
    <n v="75"/>
    <s v="Completed"/>
    <x v="0"/>
    <x v="2"/>
    <d v="2025-01-28T00:00:00"/>
    <x v="6"/>
    <x v="0"/>
    <s v="Tablets"/>
    <n v="490"/>
    <n v="1423"/>
    <n v="443"/>
    <n v="31.131412508784255"/>
    <s v="March"/>
    <n v="1"/>
    <n v="10"/>
    <n v="1"/>
  </r>
  <r>
    <s v="website_sales_mar_2025.csv"/>
    <x v="0"/>
    <s v="W-10174"/>
    <x v="69"/>
    <x v="8"/>
    <s v="layla.nasser@gmail.com"/>
    <s v="SKU2205"/>
    <n v="1"/>
    <n v="529"/>
    <n v="0"/>
    <s v="Completed"/>
    <x v="3"/>
    <x v="1"/>
    <d v="2023-01-05T00:00:00"/>
    <x v="9"/>
    <x v="0"/>
    <s v="Audio"/>
    <n v="260"/>
    <n v="529"/>
    <n v="269"/>
    <n v="50.850661625708881"/>
    <s v="March"/>
    <n v="1"/>
    <n v="35"/>
    <n v="1"/>
  </r>
  <r>
    <s v="website_sales_mar_2025.csv"/>
    <x v="0"/>
    <s v="W-10175"/>
    <x v="70"/>
    <x v="10"/>
    <s v="priya.nair@gmail.com"/>
    <s v="SKU1101"/>
    <n v="3"/>
    <n v="199"/>
    <n v="30"/>
    <s v="Completed"/>
    <x v="0"/>
    <x v="2"/>
    <d v="2025-01-30T00:00:00"/>
    <x v="8"/>
    <x v="2"/>
    <s v="Kitchen"/>
    <n v="95"/>
    <n v="567"/>
    <n v="282"/>
    <n v="49.735449735449734"/>
    <s v="March"/>
    <n v="1"/>
    <n v="10"/>
    <n v="1"/>
  </r>
  <r>
    <s v="website_sales_mar_2025.csv"/>
    <x v="0"/>
    <s v="W-10176"/>
    <x v="70"/>
    <x v="7"/>
    <s v="khalid.guest@gmail.com"/>
    <s v="SKU3305"/>
    <n v="2"/>
    <n v="29"/>
    <n v="0"/>
    <s v="Completed"/>
    <x v="2"/>
    <x v="3"/>
    <m/>
    <x v="11"/>
    <x v="1"/>
    <s v="Cleaning"/>
    <n v="11"/>
    <n v="58"/>
    <n v="36"/>
    <n v="62.068965517241381"/>
    <s v="March"/>
    <n v="1"/>
    <m/>
    <m/>
  </r>
  <r>
    <s v="website_sales_mar_2025.csv"/>
    <x v="0"/>
    <s v="W-10177"/>
    <x v="71"/>
    <x v="0"/>
    <s v="ahmed.almarzouqi@gmail.com"/>
    <s v="SKU4404"/>
    <n v="1"/>
    <n v="2199"/>
    <n v="220"/>
    <s v="Completed"/>
    <x v="0"/>
    <x v="0"/>
    <d v="2022-03-15T00:00:00"/>
    <x v="13"/>
    <x v="0"/>
    <s v="TVs"/>
    <n v="1380"/>
    <n v="1979"/>
    <n v="599"/>
    <n v="30.267812026275898"/>
    <s v="March"/>
    <n v="1"/>
    <n v="52"/>
    <n v="1"/>
  </r>
  <r>
    <s v="website_sales_mar_2025.csv"/>
    <x v="0"/>
    <s v="W-10178"/>
    <x v="71"/>
    <x v="3"/>
    <s v="khalid.alblooshi@gmail.com"/>
    <s v="SKU2209"/>
    <n v="1"/>
    <n v="229"/>
    <n v="22.9"/>
    <s v="Completed"/>
    <x v="0"/>
    <x v="0"/>
    <d v="2023-01-22T00:00:00"/>
    <x v="14"/>
    <x v="0"/>
    <s v="Wearables"/>
    <n v="110"/>
    <n v="206.1"/>
    <n v="96.1"/>
    <n v="46.62785055798156"/>
    <s v="March"/>
    <n v="1"/>
    <n v="32"/>
    <n v="1"/>
  </r>
  <r>
    <s v="website_sales_mar_2025.csv"/>
    <x v="0"/>
    <s v="W-10179"/>
    <x v="72"/>
    <x v="1"/>
    <s v="fatima.hassan@hotmail.com"/>
    <s v="SKU1103"/>
    <n v="1"/>
    <n v="459"/>
    <n v="46"/>
    <s v="Completed"/>
    <x v="1"/>
    <x v="1"/>
    <d v="2022-07-02T00:00:00"/>
    <x v="7"/>
    <x v="2"/>
    <s v="Kitchen"/>
    <n v="210"/>
    <n v="413"/>
    <n v="203"/>
    <n v="49.152542372881356"/>
    <s v="March"/>
    <n v="1"/>
    <n v="32"/>
    <n v="1"/>
  </r>
  <r>
    <s v="website_sales_mar_2025.csv"/>
    <x v="0"/>
    <s v="W-10180"/>
    <x v="72"/>
    <x v="7"/>
    <s v="march.guest@gmail.com"/>
    <s v="SKU3301"/>
    <n v="3"/>
    <n v="19"/>
    <n v="0"/>
    <s v="Completed"/>
    <x v="2"/>
    <x v="3"/>
    <m/>
    <x v="1"/>
    <x v="1"/>
    <s v="Cleaning"/>
    <n v="8"/>
    <n v="57"/>
    <n v="33"/>
    <n v="57.894736842105267"/>
    <s v="March"/>
    <n v="1"/>
    <m/>
    <m/>
  </r>
  <r>
    <s v="website_sales_mar_2025.csv"/>
    <x v="0"/>
    <s v="W-10181"/>
    <x v="73"/>
    <x v="6"/>
    <s v="sara.yousuf@gmail.com"/>
    <s v="SKU4402"/>
    <n v="1"/>
    <n v="599"/>
    <n v="0"/>
    <s v="Completed"/>
    <x v="0"/>
    <x v="1"/>
    <d v="2023-04-14T00:00:00"/>
    <x v="12"/>
    <x v="0"/>
    <s v="Audio"/>
    <n v="350"/>
    <n v="599"/>
    <n v="249"/>
    <n v="41.569282136894827"/>
    <s v="March"/>
    <n v="1"/>
    <n v="18"/>
    <n v="1"/>
  </r>
  <r>
    <s v="website_sales_mar_2025.csv"/>
    <x v="0"/>
    <s v="W-10182"/>
    <x v="73"/>
    <x v="12"/>
    <s v="ali.alshehhi@gmail.com"/>
    <s v="SKU2210"/>
    <n v="2"/>
    <n v="189"/>
    <n v="19"/>
    <s v="Completed"/>
    <x v="2"/>
    <x v="3"/>
    <m/>
    <x v="5"/>
    <x v="0"/>
    <s v="Wearables"/>
    <n v="95"/>
    <n v="359"/>
    <n v="169"/>
    <n v="47.075208913649021"/>
    <s v="March"/>
    <n v="1"/>
    <n v="5"/>
    <n v="1"/>
  </r>
  <r>
    <s v="website_sales_mar_2025.csv"/>
    <x v="0"/>
    <s v="W-10183"/>
    <x v="74"/>
    <x v="5"/>
    <s v="omar.farooq@gmail.com"/>
    <s v="SKU1106"/>
    <n v="1"/>
    <n v="1099"/>
    <n v="110"/>
    <s v="Completed"/>
    <x v="0"/>
    <x v="1"/>
    <d v="2022-11-18T00:00:00"/>
    <x v="3"/>
    <x v="2"/>
    <s v="Cleaning"/>
    <n v="650"/>
    <n v="989"/>
    <n v="339"/>
    <n v="34.277047522750252"/>
    <s v="March"/>
    <n v="1"/>
    <n v="32"/>
    <n v="1"/>
  </r>
  <r>
    <s v="website_sales_mar_2025.csv"/>
    <x v="0"/>
    <s v="W-10184"/>
    <x v="74"/>
    <x v="7"/>
    <s v="amira.guest@hotmail.com"/>
    <s v="SKU3308"/>
    <n v="1"/>
    <n v="89"/>
    <n v="0"/>
    <s v="Completed"/>
    <x v="2"/>
    <x v="3"/>
    <m/>
    <x v="15"/>
    <x v="1"/>
    <s v="Fragrance"/>
    <n v="42"/>
    <n v="89"/>
    <n v="47"/>
    <n v="52.80898876404494"/>
    <s v="March"/>
    <n v="1"/>
    <m/>
    <m/>
  </r>
  <r>
    <s v="website_sales_mar_2025.csv"/>
    <x v="0"/>
    <s v="W-10185"/>
    <x v="75"/>
    <x v="9"/>
    <s v="hamdan.sultan@gmail.com"/>
    <s v="SKU4401"/>
    <n v="1"/>
    <n v="1299"/>
    <n v="130"/>
    <s v="Completed"/>
    <x v="4"/>
    <x v="1"/>
    <d v="2023-08-30T00:00:00"/>
    <x v="0"/>
    <x v="0"/>
    <s v="TVs"/>
    <n v="820"/>
    <n v="1169"/>
    <n v="349"/>
    <n v="29.854576561163388"/>
    <s v="March"/>
    <n v="1"/>
    <n v="46"/>
    <n v="1"/>
  </r>
  <r>
    <s v="website_sales_mar_2025.csv"/>
    <x v="0"/>
    <s v="W-10186"/>
    <x v="75"/>
    <x v="10"/>
    <s v="priya.nair@gmail.com"/>
    <s v="SKU2201"/>
    <n v="2"/>
    <n v="349"/>
    <n v="0"/>
    <s v="Completed"/>
    <x v="0"/>
    <x v="2"/>
    <d v="2025-01-30T00:00:00"/>
    <x v="2"/>
    <x v="0"/>
    <s v="Accessories"/>
    <n v="165"/>
    <n v="698"/>
    <n v="368"/>
    <n v="52.722063037249278"/>
    <s v="March"/>
    <n v="1"/>
    <n v="10"/>
    <n v="1"/>
  </r>
  <r>
    <s v="website_sales_mar_2025.csv"/>
    <x v="0"/>
    <s v="W-10187"/>
    <x v="76"/>
    <x v="8"/>
    <s v="layla.nasser@gmail.com"/>
    <s v="SKU1105"/>
    <n v="1"/>
    <n v="899"/>
    <n v="89.9"/>
    <s v="Completed"/>
    <x v="3"/>
    <x v="1"/>
    <d v="2023-01-05T00:00:00"/>
    <x v="4"/>
    <x v="2"/>
    <s v="Cleaning"/>
    <n v="520"/>
    <n v="809.1"/>
    <n v="289.10000000000002"/>
    <n v="35.731059201582006"/>
    <s v="March"/>
    <n v="1"/>
    <n v="35"/>
    <n v="1"/>
  </r>
  <r>
    <s v="website_sales_mar_2025.csv"/>
    <x v="0"/>
    <s v="W-10188"/>
    <x v="76"/>
    <x v="7"/>
    <s v="rashid.guest@gmail.com"/>
    <s v="SKU3302"/>
    <n v="2"/>
    <n v="45"/>
    <n v="0"/>
    <s v="Completed"/>
    <x v="2"/>
    <x v="3"/>
    <m/>
    <x v="10"/>
    <x v="1"/>
    <s v="Organisation"/>
    <n v="18"/>
    <n v="90"/>
    <n v="54"/>
    <n v="60"/>
    <s v="March"/>
    <n v="1"/>
    <m/>
    <m/>
  </r>
  <r>
    <s v="website_sales_mar_2025.csv"/>
    <x v="0"/>
    <s v="W-10189"/>
    <x v="77"/>
    <x v="0"/>
    <s v="ahmed.almarzouqi@gmail.com"/>
    <s v="SKU2205"/>
    <n v="1"/>
    <n v="529"/>
    <n v="53"/>
    <s v="Completed"/>
    <x v="0"/>
    <x v="0"/>
    <d v="2022-03-15T00:00:00"/>
    <x v="9"/>
    <x v="0"/>
    <s v="Audio"/>
    <n v="260"/>
    <n v="476"/>
    <n v="216"/>
    <n v="45.378151260504204"/>
    <s v="March"/>
    <n v="1"/>
    <n v="52"/>
    <n v="1"/>
  </r>
  <r>
    <s v="website_sales_mar_2025.csv"/>
    <x v="0"/>
    <s v="W-10190"/>
    <x v="77"/>
    <x v="3"/>
    <s v="khalid.alblooshi@gmail.com"/>
    <s v="SKU4403"/>
    <n v="1"/>
    <n v="749"/>
    <n v="75"/>
    <s v="Completed"/>
    <x v="0"/>
    <x v="0"/>
    <d v="2023-01-22T00:00:00"/>
    <x v="6"/>
    <x v="0"/>
    <s v="Tablets"/>
    <n v="490"/>
    <n v="674"/>
    <n v="184"/>
    <n v="27.299703264094955"/>
    <s v="March"/>
    <n v="1"/>
    <n v="32"/>
    <n v="1"/>
  </r>
  <r>
    <s v="website_sales_mar_2025.csv"/>
    <x v="0"/>
    <s v="W-10191"/>
    <x v="78"/>
    <x v="2"/>
    <s v="rashed.alketbi@gmail.com"/>
    <s v="SKU1101"/>
    <n v="2"/>
    <n v="199"/>
    <n v="0"/>
    <s v="Completed"/>
    <x v="0"/>
    <x v="2"/>
    <d v="2023-12-19T00:00:00"/>
    <x v="8"/>
    <x v="2"/>
    <s v="Kitchen"/>
    <n v="95"/>
    <n v="398"/>
    <n v="208"/>
    <n v="52.261306532663319"/>
    <s v="March"/>
    <n v="1"/>
    <n v="8"/>
    <n v="1"/>
  </r>
  <r>
    <s v="website_sales_mar_2025.csv"/>
    <x v="0"/>
    <s v="W-10192"/>
    <x v="78"/>
    <x v="7"/>
    <s v="nouf.guest@gmail.com"/>
    <s v="SKU3305"/>
    <n v="3"/>
    <n v="29"/>
    <n v="0"/>
    <s v="Completed"/>
    <x v="2"/>
    <x v="3"/>
    <m/>
    <x v="11"/>
    <x v="1"/>
    <s v="Cleaning"/>
    <n v="11"/>
    <n v="87"/>
    <n v="54"/>
    <n v="62.068965517241381"/>
    <s v="March"/>
    <n v="1"/>
    <m/>
    <m/>
  </r>
  <r>
    <s v="website_sales_mar_2025.csv"/>
    <x v="0"/>
    <s v="W-10193"/>
    <x v="79"/>
    <x v="1"/>
    <s v="fatima.hassan@hotmail.com"/>
    <s v="SKU4404"/>
    <n v="1"/>
    <n v="2199"/>
    <n v="220"/>
    <s v="Completed"/>
    <x v="1"/>
    <x v="1"/>
    <d v="2022-07-02T00:00:00"/>
    <x v="13"/>
    <x v="0"/>
    <s v="TVs"/>
    <n v="1380"/>
    <n v="1979"/>
    <n v="599"/>
    <n v="30.267812026275898"/>
    <s v="March"/>
    <n v="1"/>
    <n v="32"/>
    <n v="1"/>
  </r>
  <r>
    <s v="website_sales_mar_2025.csv"/>
    <x v="0"/>
    <s v="W-10194"/>
    <x v="79"/>
    <x v="4"/>
    <s v="hassan.alali@gmail.com"/>
    <s v="SKU2209"/>
    <n v="1"/>
    <n v="229"/>
    <n v="0"/>
    <s v="Completed"/>
    <x v="0"/>
    <x v="2"/>
    <d v="2025-01-28T00:00:00"/>
    <x v="14"/>
    <x v="0"/>
    <s v="Wearables"/>
    <n v="110"/>
    <n v="229"/>
    <n v="119"/>
    <n v="51.965065502183407"/>
    <s v="March"/>
    <n v="1"/>
    <n v="10"/>
    <n v="1"/>
  </r>
  <r>
    <s v="website_sales_mar_2025.csv"/>
    <x v="0"/>
    <s v="W-10195"/>
    <x v="80"/>
    <x v="10"/>
    <s v="priya.nair@gmail.com"/>
    <s v="SKU1103"/>
    <n v="1"/>
    <n v="459"/>
    <n v="46"/>
    <s v="Completed"/>
    <x v="0"/>
    <x v="2"/>
    <d v="2025-01-30T00:00:00"/>
    <x v="7"/>
    <x v="2"/>
    <s v="Kitchen"/>
    <n v="210"/>
    <n v="413"/>
    <n v="203"/>
    <n v="49.152542372881356"/>
    <s v="March"/>
    <n v="1"/>
    <n v="10"/>
    <n v="1"/>
  </r>
  <r>
    <s v="website_sales_mar_2025.csv"/>
    <x v="0"/>
    <s v="W-10196"/>
    <x v="80"/>
    <x v="7"/>
    <s v="guest.mar22@gmail.com"/>
    <s v="SKU3301"/>
    <n v="4"/>
    <n v="19"/>
    <n v="0"/>
    <s v="Completed"/>
    <x v="2"/>
    <x v="3"/>
    <m/>
    <x v="1"/>
    <x v="1"/>
    <s v="Cleaning"/>
    <n v="8"/>
    <n v="76"/>
    <n v="44"/>
    <n v="57.894736842105267"/>
    <s v="March"/>
    <n v="1"/>
    <m/>
    <m/>
  </r>
  <r>
    <s v="website_sales_mar_2025.csv"/>
    <x v="0"/>
    <s v="W-10197"/>
    <x v="81"/>
    <x v="6"/>
    <s v="sara.yousuf@gmail.com"/>
    <s v="SKU4402"/>
    <n v="1"/>
    <n v="599"/>
    <n v="59.9"/>
    <s v="Completed"/>
    <x v="0"/>
    <x v="1"/>
    <d v="2023-04-14T00:00:00"/>
    <x v="12"/>
    <x v="0"/>
    <s v="Audio"/>
    <n v="350"/>
    <n v="539.1"/>
    <n v="189.10000000000002"/>
    <n v="35.076980152105364"/>
    <s v="March"/>
    <n v="1"/>
    <n v="18"/>
    <n v="1"/>
  </r>
  <r>
    <s v="website_sales_mar_2025.csv"/>
    <x v="0"/>
    <s v="W-10198"/>
    <x v="81"/>
    <x v="5"/>
    <s v="omar.farooq@gmail.com"/>
    <s v="SKU2210"/>
    <n v="1"/>
    <n v="189"/>
    <n v="0"/>
    <s v="Completed"/>
    <x v="0"/>
    <x v="1"/>
    <d v="2022-11-18T00:00:00"/>
    <x v="5"/>
    <x v="0"/>
    <s v="Wearables"/>
    <n v="95"/>
    <n v="189"/>
    <n v="94"/>
    <n v="49.735449735449734"/>
    <s v="March"/>
    <n v="1"/>
    <n v="32"/>
    <n v="1"/>
  </r>
  <r>
    <s v="website_sales_mar_2025.csv"/>
    <x v="0"/>
    <s v="W-10200"/>
    <x v="82"/>
    <x v="7"/>
    <s v="diana.guest@gmail.com"/>
    <s v="SKU3308"/>
    <n v="2"/>
    <n v="89"/>
    <n v="8.9"/>
    <s v="Completed"/>
    <x v="2"/>
    <x v="3"/>
    <m/>
    <x v="15"/>
    <x v="1"/>
    <s v="Fragrance"/>
    <n v="42"/>
    <n v="169.1"/>
    <n v="85.1"/>
    <n v="50.325251330573629"/>
    <s v="March"/>
    <n v="1"/>
    <m/>
    <m/>
  </r>
  <r>
    <s v="website_sales_mar_2025.csv"/>
    <x v="0"/>
    <s v="W-10201"/>
    <x v="83"/>
    <x v="8"/>
    <s v="layla.nasser@gmail.com"/>
    <s v="SKU4401"/>
    <n v="1"/>
    <n v="1299"/>
    <n v="0"/>
    <s v="Completed"/>
    <x v="3"/>
    <x v="1"/>
    <d v="2023-01-05T00:00:00"/>
    <x v="0"/>
    <x v="0"/>
    <s v="TVs"/>
    <n v="820"/>
    <n v="1299"/>
    <n v="479"/>
    <n v="36.87451886066205"/>
    <s v="March"/>
    <n v="1"/>
    <n v="35"/>
    <n v="1"/>
  </r>
  <r>
    <s v="website_sales_mar_2025.csv"/>
    <x v="0"/>
    <s v="W-10202"/>
    <x v="83"/>
    <x v="0"/>
    <s v="ahmed.almarzouqi@gmail.com"/>
    <s v="SKU2201"/>
    <n v="2"/>
    <n v="349"/>
    <n v="34.9"/>
    <s v="Completed"/>
    <x v="0"/>
    <x v="0"/>
    <d v="2022-03-15T00:00:00"/>
    <x v="2"/>
    <x v="0"/>
    <s v="Accessories"/>
    <n v="165"/>
    <n v="663.1"/>
    <n v="333.1"/>
    <n v="50.233750565525561"/>
    <s v="March"/>
    <n v="1"/>
    <n v="52"/>
    <n v="1"/>
  </r>
  <r>
    <s v="website_sales_mar_2025.csv"/>
    <x v="0"/>
    <s v="W-10203"/>
    <x v="84"/>
    <x v="3"/>
    <s v="khalid.alblooshi@gmail.com"/>
    <s v="SKU1105"/>
    <n v="1"/>
    <n v="899"/>
    <n v="0"/>
    <s v="Completed"/>
    <x v="0"/>
    <x v="0"/>
    <d v="2023-01-22T00:00:00"/>
    <x v="4"/>
    <x v="2"/>
    <s v="Cleaning"/>
    <n v="520"/>
    <n v="899"/>
    <n v="379"/>
    <n v="42.157953281423808"/>
    <s v="March"/>
    <n v="1"/>
    <n v="32"/>
    <n v="1"/>
  </r>
  <r>
    <s v="website_sales_mar_2025.csv"/>
    <x v="0"/>
    <s v="W-10204"/>
    <x v="84"/>
    <x v="7"/>
    <s v="marwa.guest@gmail.com"/>
    <s v="SKU3302"/>
    <n v="3"/>
    <n v="45"/>
    <n v="0"/>
    <s v="Completed"/>
    <x v="2"/>
    <x v="3"/>
    <m/>
    <x v="10"/>
    <x v="1"/>
    <s v="Organisation"/>
    <n v="18"/>
    <n v="135"/>
    <n v="81"/>
    <n v="60"/>
    <s v="March"/>
    <n v="1"/>
    <m/>
    <m/>
  </r>
  <r>
    <s v="website_sales_mar_2025.csv"/>
    <x v="0"/>
    <s v="W-10205"/>
    <x v="85"/>
    <x v="12"/>
    <s v="ali.alshehhi@gmail.com"/>
    <s v="SKU4403"/>
    <n v="1"/>
    <n v="749"/>
    <n v="74.900000000000006"/>
    <s v="Completed"/>
    <x v="2"/>
    <x v="3"/>
    <m/>
    <x v="6"/>
    <x v="0"/>
    <s v="Tablets"/>
    <n v="490"/>
    <n v="674.1"/>
    <n v="184.10000000000002"/>
    <n v="27.310488058151609"/>
    <s v="March"/>
    <n v="1"/>
    <n v="5"/>
    <n v="1"/>
  </r>
  <r>
    <s v="website_sales_mar_2025.csv"/>
    <x v="0"/>
    <s v="W-10206"/>
    <x v="85"/>
    <x v="10"/>
    <s v="priya.nair@gmail.com"/>
    <s v="SKU2205"/>
    <n v="1"/>
    <n v="529"/>
    <n v="0"/>
    <s v="Completed"/>
    <x v="0"/>
    <x v="2"/>
    <d v="2025-01-30T00:00:00"/>
    <x v="9"/>
    <x v="0"/>
    <s v="Audio"/>
    <n v="260"/>
    <n v="529"/>
    <n v="269"/>
    <n v="50.850661625708881"/>
    <s v="March"/>
    <n v="1"/>
    <n v="10"/>
    <n v="1"/>
  </r>
  <r>
    <s v="website_sales_mar_2025.csv"/>
    <x v="0"/>
    <s v="W-10207"/>
    <x v="86"/>
    <x v="1"/>
    <s v="fatima.hassan@hotmail.com"/>
    <s v="SKU1101"/>
    <n v="2"/>
    <n v="199"/>
    <n v="20"/>
    <s v="Completed"/>
    <x v="1"/>
    <x v="1"/>
    <d v="2022-07-02T00:00:00"/>
    <x v="8"/>
    <x v="2"/>
    <s v="Kitchen"/>
    <n v="95"/>
    <n v="378"/>
    <n v="188"/>
    <n v="49.735449735449734"/>
    <s v="March"/>
    <n v="1"/>
    <n v="32"/>
    <n v="1"/>
  </r>
  <r>
    <s v="website_sales_mar_2025.csv"/>
    <x v="0"/>
    <s v="W-10208"/>
    <x v="86"/>
    <x v="7"/>
    <s v="ahmed.guest2@yahoo.com"/>
    <s v="SKU3305"/>
    <n v="2"/>
    <n v="29"/>
    <n v="0"/>
    <s v="Completed"/>
    <x v="2"/>
    <x v="3"/>
    <m/>
    <x v="11"/>
    <x v="1"/>
    <s v="Cleaning"/>
    <n v="11"/>
    <n v="58"/>
    <n v="36"/>
    <n v="62.068965517241381"/>
    <s v="March"/>
    <n v="1"/>
    <m/>
    <m/>
  </r>
  <r>
    <s v="website_sales_mar_2025.csv"/>
    <x v="0"/>
    <s v="W-10209"/>
    <x v="87"/>
    <x v="4"/>
    <s v="hassan.alali@gmail.com"/>
    <s v="SKU4403"/>
    <n v="1"/>
    <n v="749"/>
    <n v="0"/>
    <s v="Completed"/>
    <x v="0"/>
    <x v="2"/>
    <d v="2025-01-28T00:00:00"/>
    <x v="6"/>
    <x v="0"/>
    <s v="Tablets"/>
    <n v="490"/>
    <n v="749"/>
    <n v="259"/>
    <n v="34.579439252336449"/>
    <s v="March"/>
    <n v="1"/>
    <n v="10"/>
    <n v="1"/>
  </r>
  <r>
    <s v="website_sales_mar_2025.csv"/>
    <x v="0"/>
    <s v="W-10210"/>
    <x v="87"/>
    <x v="9"/>
    <s v="hamdan.sultan@gmail.com"/>
    <s v="SKU2201"/>
    <n v="1"/>
    <n v="349"/>
    <n v="34.9"/>
    <s v="Completed"/>
    <x v="4"/>
    <x v="1"/>
    <d v="2023-08-30T00:00:00"/>
    <x v="2"/>
    <x v="0"/>
    <s v="Accessories"/>
    <n v="165"/>
    <n v="314.10000000000002"/>
    <n v="149.10000000000002"/>
    <n v="47.468958930276983"/>
    <s v="March"/>
    <n v="1"/>
    <n v="46"/>
    <n v="1"/>
  </r>
  <r>
    <s v="website_sales_mar_2025.csv"/>
    <x v="0"/>
    <s v="W-10211"/>
    <x v="88"/>
    <x v="6"/>
    <s v="sara.yousuf@gmail.com"/>
    <s v="SKU1105"/>
    <n v="1"/>
    <n v="899"/>
    <n v="89.9"/>
    <s v="Completed"/>
    <x v="0"/>
    <x v="1"/>
    <d v="2023-04-14T00:00:00"/>
    <x v="4"/>
    <x v="2"/>
    <s v="Cleaning"/>
    <n v="520"/>
    <n v="809.1"/>
    <n v="289.10000000000002"/>
    <n v="35.731059201582006"/>
    <s v="March"/>
    <n v="1"/>
    <n v="18"/>
    <n v="1"/>
  </r>
  <r>
    <s v="website_sales_mar_2025.csv"/>
    <x v="0"/>
    <s v="W-10212"/>
    <x v="88"/>
    <x v="7"/>
    <s v="bilal.guest@gmail.com"/>
    <s v="SKU3302"/>
    <n v="2"/>
    <n v="45"/>
    <n v="0"/>
    <s v="Completed"/>
    <x v="2"/>
    <x v="3"/>
    <m/>
    <x v="10"/>
    <x v="1"/>
    <s v="Organisation"/>
    <n v="18"/>
    <n v="90"/>
    <n v="54"/>
    <n v="60"/>
    <s v="March"/>
    <n v="1"/>
    <m/>
    <m/>
  </r>
  <r>
    <s v="website_sales_mar_2025.csv"/>
    <x v="0"/>
    <s v="W-10213"/>
    <x v="89"/>
    <x v="0"/>
    <s v="ahmed.almarzouqi@gmail.com"/>
    <s v="SKU4401"/>
    <n v="1"/>
    <n v="1299"/>
    <n v="130"/>
    <s v="Completed"/>
    <x v="0"/>
    <x v="0"/>
    <d v="2022-03-15T00:00:00"/>
    <x v="0"/>
    <x v="0"/>
    <s v="TVs"/>
    <n v="820"/>
    <n v="1169"/>
    <n v="349"/>
    <n v="29.854576561163388"/>
    <s v="March"/>
    <n v="1"/>
    <n v="52"/>
    <n v="1"/>
  </r>
  <r>
    <s v="website_sales_mar_2025.csv"/>
    <x v="0"/>
    <s v="W-10214"/>
    <x v="89"/>
    <x v="12"/>
    <s v="ali.alshehhi@gmail.com"/>
    <s v="SKU2209"/>
    <n v="1"/>
    <n v="229"/>
    <n v="22.9"/>
    <s v="Completed"/>
    <x v="2"/>
    <x v="3"/>
    <m/>
    <x v="14"/>
    <x v="0"/>
    <s v="Wearables"/>
    <n v="110"/>
    <n v="206.1"/>
    <n v="96.1"/>
    <n v="46.62785055798156"/>
    <s v="March"/>
    <n v="1"/>
    <n v="5"/>
    <n v="1"/>
  </r>
  <r>
    <s v="noon_sales_feb_2025.csv"/>
    <x v="1"/>
    <s v="N-88872"/>
    <x v="0"/>
    <x v="13"/>
    <s v="sultan.alremeithi@gmail.com"/>
    <s v="SKU4401"/>
    <n v="1"/>
    <n v="1299"/>
    <n v="130"/>
    <s v="Completed"/>
    <x v="0"/>
    <x v="2"/>
    <d v="2023-10-12T00:00:00"/>
    <x v="0"/>
    <x v="0"/>
    <s v="TVs"/>
    <n v="820"/>
    <n v="1169"/>
    <n v="349"/>
    <n v="29.854576561163388"/>
    <s v="February"/>
    <n v="1"/>
    <n v="19"/>
    <n v="1"/>
  </r>
  <r>
    <s v="noon_sales_feb_2025.csv"/>
    <x v="1"/>
    <s v="N-88880"/>
    <x v="10"/>
    <x v="13"/>
    <s v="sultan.alremeithi@gmail.com"/>
    <s v="SKU4404"/>
    <n v="1"/>
    <n v="2199"/>
    <n v="0"/>
    <s v="Completed"/>
    <x v="0"/>
    <x v="2"/>
    <d v="2023-10-12T00:00:00"/>
    <x v="13"/>
    <x v="0"/>
    <s v="TVs"/>
    <n v="1380"/>
    <n v="2199"/>
    <n v="819"/>
    <n v="37.244201909959074"/>
    <s v="February"/>
    <n v="1"/>
    <n v="19"/>
    <n v="1"/>
  </r>
  <r>
    <s v="noon_sales_feb_2025.csv"/>
    <x v="1"/>
    <s v="N-88889"/>
    <x v="3"/>
    <x v="0"/>
    <s v="ahmed.almarzouqi@gmail.com"/>
    <s v="SKU2201"/>
    <n v="1"/>
    <n v="349"/>
    <n v="0"/>
    <s v="Completed"/>
    <x v="0"/>
    <x v="0"/>
    <d v="2022-03-15T00:00:00"/>
    <x v="2"/>
    <x v="0"/>
    <s v="Accessories"/>
    <n v="165"/>
    <n v="349"/>
    <n v="184"/>
    <n v="52.722063037249278"/>
    <s v="February"/>
    <n v="1"/>
    <n v="52"/>
    <n v="1"/>
  </r>
  <r>
    <s v="noon_sales_feb_2025.csv"/>
    <x v="1"/>
    <s v="N-88877"/>
    <x v="6"/>
    <x v="0"/>
    <s v="ahmed.almarzouqi@gmail.com"/>
    <s v="SKU2205"/>
    <n v="1"/>
    <n v="529"/>
    <n v="52.9"/>
    <s v="Completed"/>
    <x v="0"/>
    <x v="0"/>
    <d v="2022-03-15T00:00:00"/>
    <x v="9"/>
    <x v="0"/>
    <s v="Audio"/>
    <n v="260"/>
    <n v="476.1"/>
    <n v="216.10000000000002"/>
    <n v="45.389624028565429"/>
    <s v="February"/>
    <n v="1"/>
    <n v="52"/>
    <n v="1"/>
  </r>
  <r>
    <s v="noon_sales_feb_2025.csv"/>
    <x v="1"/>
    <s v="N-88873"/>
    <x v="0"/>
    <x v="14"/>
    <s v="majid.almansoori@gmail.com"/>
    <s v="SKU2201"/>
    <n v="2"/>
    <n v="349"/>
    <n v="0"/>
    <s v="Completed"/>
    <x v="3"/>
    <x v="2"/>
    <d v="2023-12-03T00:00:00"/>
    <x v="2"/>
    <x v="0"/>
    <s v="Accessories"/>
    <n v="165"/>
    <n v="698"/>
    <n v="368"/>
    <n v="52.722063037249278"/>
    <s v="February"/>
    <n v="1"/>
    <n v="20"/>
    <n v="1"/>
  </r>
  <r>
    <s v="noon_sales_feb_2025.csv"/>
    <x v="1"/>
    <s v="N-88882"/>
    <x v="1"/>
    <x v="14"/>
    <s v="majid.almansoori@gmail.com"/>
    <s v="SKU1103"/>
    <n v="2"/>
    <n v="459"/>
    <n v="46"/>
    <s v="Completed"/>
    <x v="3"/>
    <x v="2"/>
    <d v="2023-12-03T00:00:00"/>
    <x v="7"/>
    <x v="2"/>
    <s v="Kitchen"/>
    <n v="210"/>
    <n v="872"/>
    <n v="452"/>
    <n v="51.834862385321102"/>
    <s v="February"/>
    <n v="1"/>
    <n v="20"/>
    <n v="1"/>
  </r>
  <r>
    <s v="noon_sales_feb_2025.csv"/>
    <x v="1"/>
    <s v="N-88891"/>
    <x v="9"/>
    <x v="14"/>
    <s v="majid.almansoori@gmail.com"/>
    <s v="SKU1105"/>
    <n v="2"/>
    <n v="899"/>
    <n v="90"/>
    <s v="Completed"/>
    <x v="3"/>
    <x v="2"/>
    <d v="2023-12-03T00:00:00"/>
    <x v="4"/>
    <x v="2"/>
    <s v="Cleaning"/>
    <n v="520"/>
    <n v="1708"/>
    <n v="668"/>
    <n v="39.110070257611241"/>
    <s v="February"/>
    <n v="1"/>
    <n v="20"/>
    <n v="1"/>
  </r>
  <r>
    <s v="noon_sales_feb_2025.csv"/>
    <x v="1"/>
    <s v="N-88875"/>
    <x v="4"/>
    <x v="1"/>
    <s v="fatima.hassan@hotmail.com"/>
    <s v="SKU1105"/>
    <n v="1"/>
    <n v="899"/>
    <n v="90"/>
    <s v="Completed"/>
    <x v="1"/>
    <x v="1"/>
    <d v="2022-07-02T00:00:00"/>
    <x v="4"/>
    <x v="2"/>
    <s v="Cleaning"/>
    <n v="520"/>
    <n v="809"/>
    <n v="289"/>
    <n v="35.723114956736715"/>
    <s v="February"/>
    <n v="1"/>
    <n v="32"/>
    <n v="1"/>
  </r>
  <r>
    <s v="noon_sales_feb_2025.csv"/>
    <x v="1"/>
    <s v="N-88884"/>
    <x v="5"/>
    <x v="1"/>
    <s v="fatima.hassan@hotmail.com"/>
    <s v="SKU4402"/>
    <n v="1"/>
    <n v="599"/>
    <n v="60"/>
    <s v="Completed"/>
    <x v="1"/>
    <x v="1"/>
    <d v="2022-07-02T00:00:00"/>
    <x v="12"/>
    <x v="0"/>
    <s v="Audio"/>
    <n v="350"/>
    <n v="539"/>
    <n v="189"/>
    <n v="35.064935064935064"/>
    <s v="February"/>
    <n v="1"/>
    <n v="32"/>
    <n v="1"/>
  </r>
  <r>
    <s v="noon_sales_feb_2025.csv"/>
    <x v="1"/>
    <s v="N-88885"/>
    <x v="5"/>
    <x v="3"/>
    <s v="khalid.alblooshi@gmail.com"/>
    <s v="SKU2210"/>
    <n v="1"/>
    <n v="189"/>
    <n v="19"/>
    <s v="Completed"/>
    <x v="0"/>
    <x v="0"/>
    <d v="2023-01-22T00:00:00"/>
    <x v="5"/>
    <x v="0"/>
    <s v="Wearables"/>
    <n v="95"/>
    <n v="170"/>
    <n v="75"/>
    <n v="44.117647058823529"/>
    <s v="February"/>
    <n v="1"/>
    <n v="32"/>
    <n v="1"/>
  </r>
  <r>
    <s v="noon_sales_feb_2025.csv"/>
    <x v="1"/>
    <s v="N-88879"/>
    <x v="8"/>
    <x v="9"/>
    <s v="hamdan.sultan@gmail.com"/>
    <s v="SKU1101"/>
    <n v="2"/>
    <n v="199"/>
    <n v="20"/>
    <s v="Completed"/>
    <x v="4"/>
    <x v="1"/>
    <d v="2023-08-30T00:00:00"/>
    <x v="8"/>
    <x v="2"/>
    <s v="Kitchen"/>
    <n v="95"/>
    <n v="378"/>
    <n v="188"/>
    <n v="49.735449735449734"/>
    <s v="February"/>
    <n v="1"/>
    <n v="46"/>
    <n v="1"/>
  </r>
  <r>
    <s v="noon_sales_feb_2025.csv"/>
    <x v="1"/>
    <s v="N-88892"/>
    <x v="7"/>
    <x v="9"/>
    <s v="hamdan.sultan@gmail.com"/>
    <s v="SKU4403"/>
    <n v="1"/>
    <n v="749"/>
    <n v="75"/>
    <s v="Completed"/>
    <x v="4"/>
    <x v="1"/>
    <d v="2023-08-30T00:00:00"/>
    <x v="6"/>
    <x v="0"/>
    <s v="Tablets"/>
    <n v="490"/>
    <n v="674"/>
    <n v="184"/>
    <n v="27.299703264094955"/>
    <s v="February"/>
    <n v="1"/>
    <n v="46"/>
    <n v="1"/>
  </r>
  <r>
    <s v="noon_sales_feb_2025.csv"/>
    <x v="1"/>
    <s v="N-88874"/>
    <x v="4"/>
    <x v="7"/>
    <s v="guest@noon.com"/>
    <s v="SKU3302"/>
    <n v="4"/>
    <n v="45"/>
    <n v="22.5"/>
    <s v="Completed"/>
    <x v="2"/>
    <x v="3"/>
    <m/>
    <x v="10"/>
    <x v="1"/>
    <s v="Organisation"/>
    <n v="18"/>
    <n v="157.5"/>
    <n v="85.5"/>
    <n v="54.285714285714285"/>
    <s v="February"/>
    <n v="1"/>
    <m/>
    <m/>
  </r>
  <r>
    <s v="noon_sales_feb_2025.csv"/>
    <x v="1"/>
    <s v="N-88878"/>
    <x v="8"/>
    <x v="7"/>
    <s v="guest@noon.com"/>
    <s v="SKU3305"/>
    <n v="3"/>
    <n v="29"/>
    <n v="0"/>
    <s v="Completed"/>
    <x v="2"/>
    <x v="3"/>
    <m/>
    <x v="11"/>
    <x v="1"/>
    <s v="Cleaning"/>
    <n v="11"/>
    <n v="87"/>
    <n v="54"/>
    <n v="62.068965517241381"/>
    <s v="February"/>
    <n v="1"/>
    <m/>
    <m/>
  </r>
  <r>
    <s v="noon_sales_feb_2025.csv"/>
    <x v="1"/>
    <s v="N-88883"/>
    <x v="1"/>
    <x v="7"/>
    <s v="guest@noon.com"/>
    <s v="SKU3301"/>
    <n v="5"/>
    <n v="19"/>
    <n v="0"/>
    <s v="Completed"/>
    <x v="2"/>
    <x v="3"/>
    <m/>
    <x v="1"/>
    <x v="1"/>
    <s v="Cleaning"/>
    <n v="8"/>
    <n v="95"/>
    <n v="55"/>
    <n v="57.894736842105267"/>
    <s v="February"/>
    <n v="1"/>
    <m/>
    <m/>
  </r>
  <r>
    <s v="noon_sales_feb_2025.csv"/>
    <x v="1"/>
    <s v="N-88886"/>
    <x v="2"/>
    <x v="7"/>
    <s v="guest@noon.com"/>
    <s v="SKU1106"/>
    <n v="1"/>
    <n v="1099"/>
    <n v="0"/>
    <s v="Completed"/>
    <x v="2"/>
    <x v="3"/>
    <m/>
    <x v="3"/>
    <x v="2"/>
    <s v="Cleaning"/>
    <n v="650"/>
    <n v="1099"/>
    <n v="449"/>
    <n v="40.855323020928111"/>
    <s v="February"/>
    <n v="1"/>
    <m/>
    <m/>
  </r>
  <r>
    <s v="noon_sales_feb_2025.csv"/>
    <x v="1"/>
    <s v="N-88890"/>
    <x v="9"/>
    <x v="7"/>
    <s v="guest@noon.com"/>
    <s v="SKU3302"/>
    <n v="3"/>
    <n v="45"/>
    <n v="0"/>
    <s v="Completed"/>
    <x v="2"/>
    <x v="3"/>
    <m/>
    <x v="10"/>
    <x v="1"/>
    <s v="Organisation"/>
    <n v="18"/>
    <n v="135"/>
    <n v="81"/>
    <n v="60"/>
    <s v="February"/>
    <n v="1"/>
    <m/>
    <m/>
  </r>
  <r>
    <s v="noon_sales_feb_2025.csv"/>
    <x v="1"/>
    <s v="N-88876"/>
    <x v="6"/>
    <x v="15"/>
    <s v="james.mathew@gmail.com"/>
    <s v="SKU4403"/>
    <n v="1"/>
    <n v="749"/>
    <n v="0"/>
    <s v="Completed"/>
    <x v="1"/>
    <x v="2"/>
    <d v="2025-01-31T00:00:00"/>
    <x v="6"/>
    <x v="0"/>
    <s v="Tablets"/>
    <n v="490"/>
    <n v="749"/>
    <n v="259"/>
    <n v="34.579439252336449"/>
    <s v="February"/>
    <n v="1"/>
    <n v="6"/>
    <n v="1"/>
  </r>
  <r>
    <s v="noon_sales_feb_2025.csv"/>
    <x v="1"/>
    <s v="N-88881"/>
    <x v="10"/>
    <x v="15"/>
    <s v="james.mathew@gmail.com"/>
    <s v="SKU2209"/>
    <n v="1"/>
    <n v="229"/>
    <n v="22.9"/>
    <s v="Completed"/>
    <x v="1"/>
    <x v="2"/>
    <d v="2025-01-31T00:00:00"/>
    <x v="14"/>
    <x v="0"/>
    <s v="Wearables"/>
    <n v="110"/>
    <n v="206.1"/>
    <n v="96.1"/>
    <n v="46.62785055798156"/>
    <s v="February"/>
    <n v="1"/>
    <n v="6"/>
    <n v="1"/>
  </r>
  <r>
    <s v="noon_sales_feb_2025.csv"/>
    <x v="1"/>
    <s v="N-88887"/>
    <x v="2"/>
    <x v="15"/>
    <s v="james.mathew@gmail.com"/>
    <s v="SKU3308"/>
    <n v="2"/>
    <n v="89"/>
    <n v="0"/>
    <s v="Completed"/>
    <x v="1"/>
    <x v="2"/>
    <d v="2025-01-31T00:00:00"/>
    <x v="15"/>
    <x v="1"/>
    <s v="Fragrance"/>
    <n v="42"/>
    <n v="178"/>
    <n v="94"/>
    <n v="52.80898876404494"/>
    <s v="February"/>
    <n v="1"/>
    <n v="6"/>
    <n v="1"/>
  </r>
  <r>
    <s v="noon_sales_feb_2025.csv"/>
    <x v="1"/>
    <s v="N-88893"/>
    <x v="7"/>
    <x v="15"/>
    <s v="james.mathew@gmail.com"/>
    <s v="SKU2205"/>
    <n v="1"/>
    <n v="529"/>
    <n v="0"/>
    <s v="Completed"/>
    <x v="1"/>
    <x v="2"/>
    <d v="2025-01-31T00:00:00"/>
    <x v="9"/>
    <x v="0"/>
    <s v="Audio"/>
    <n v="260"/>
    <n v="529"/>
    <n v="269"/>
    <n v="50.850661625708881"/>
    <s v="February"/>
    <n v="1"/>
    <n v="6"/>
    <n v="1"/>
  </r>
  <r>
    <s v="noon_sales_feb_2025.csv"/>
    <x v="1"/>
    <s v="N-88894"/>
    <x v="11"/>
    <x v="1"/>
    <s v="fatima.hassan@hotmail.com"/>
    <s v="SKU1101"/>
    <n v="3"/>
    <n v="199"/>
    <n v="30"/>
    <s v="Completed"/>
    <x v="1"/>
    <x v="1"/>
    <d v="2022-07-02T00:00:00"/>
    <x v="8"/>
    <x v="2"/>
    <s v="Kitchen"/>
    <n v="95"/>
    <n v="567"/>
    <n v="282"/>
    <n v="49.735449735449734"/>
    <s v="February"/>
    <n v="1"/>
    <n v="32"/>
    <n v="1"/>
  </r>
  <r>
    <s v="noon_sales_feb_2025.csv"/>
    <x v="1"/>
    <s v="N-88895"/>
    <x v="11"/>
    <x v="7"/>
    <s v="guest@noon.com"/>
    <s v="SKU3305"/>
    <n v="2"/>
    <n v="29"/>
    <n v="0"/>
    <s v="Completed"/>
    <x v="2"/>
    <x v="3"/>
    <m/>
    <x v="11"/>
    <x v="1"/>
    <s v="Cleaning"/>
    <n v="11"/>
    <n v="58"/>
    <n v="36"/>
    <n v="62.068965517241381"/>
    <s v="February"/>
    <n v="1"/>
    <m/>
    <m/>
  </r>
  <r>
    <s v="noon_sales_feb_2025.csv"/>
    <x v="1"/>
    <s v="N-88896"/>
    <x v="12"/>
    <x v="13"/>
    <s v="sultan.alremeithi@gmail.com"/>
    <s v="SKU4402"/>
    <n v="1"/>
    <n v="599"/>
    <n v="59.9"/>
    <s v="Completed"/>
    <x v="0"/>
    <x v="2"/>
    <d v="2023-10-12T00:00:00"/>
    <x v="12"/>
    <x v="0"/>
    <s v="Audio"/>
    <n v="350"/>
    <n v="539.1"/>
    <n v="189.10000000000002"/>
    <n v="35.076980152105364"/>
    <s v="February"/>
    <n v="1"/>
    <n v="19"/>
    <n v="1"/>
  </r>
  <r>
    <s v="noon_sales_feb_2025.csv"/>
    <x v="1"/>
    <s v="N-88897"/>
    <x v="12"/>
    <x v="0"/>
    <s v="ahmed.almarzouqi@gmail.com"/>
    <s v="SKU2209"/>
    <n v="2"/>
    <n v="229"/>
    <n v="0"/>
    <s v="Completed"/>
    <x v="0"/>
    <x v="0"/>
    <d v="2022-03-15T00:00:00"/>
    <x v="14"/>
    <x v="0"/>
    <s v="Wearables"/>
    <n v="110"/>
    <n v="458"/>
    <n v="238"/>
    <n v="51.965065502183407"/>
    <s v="February"/>
    <n v="1"/>
    <n v="52"/>
    <n v="1"/>
  </r>
  <r>
    <s v="noon_sales_feb_2025.csv"/>
    <x v="1"/>
    <s v="N-88898"/>
    <x v="13"/>
    <x v="7"/>
    <s v="guest@noon.com"/>
    <s v="SKU1103"/>
    <n v="1"/>
    <n v="459"/>
    <n v="46"/>
    <s v="Completed"/>
    <x v="2"/>
    <x v="3"/>
    <m/>
    <x v="7"/>
    <x v="2"/>
    <s v="Kitchen"/>
    <n v="210"/>
    <n v="413"/>
    <n v="203"/>
    <n v="49.152542372881356"/>
    <s v="February"/>
    <n v="1"/>
    <m/>
    <m/>
  </r>
  <r>
    <s v="noon_sales_feb_2025.csv"/>
    <x v="1"/>
    <s v="N-88899"/>
    <x v="13"/>
    <x v="14"/>
    <s v="majid.almansoori@gmail.com"/>
    <s v="SKU3301"/>
    <n v="4"/>
    <n v="19"/>
    <n v="0"/>
    <s v="Completed"/>
    <x v="3"/>
    <x v="2"/>
    <d v="2023-12-03T00:00:00"/>
    <x v="1"/>
    <x v="1"/>
    <s v="Cleaning"/>
    <n v="8"/>
    <n v="76"/>
    <n v="44"/>
    <n v="57.894736842105267"/>
    <s v="February"/>
    <n v="1"/>
    <n v="20"/>
    <n v="1"/>
  </r>
  <r>
    <s v="noon_sales_feb_2025.csv"/>
    <x v="1"/>
    <s v="N-88901"/>
    <x v="14"/>
    <x v="3"/>
    <s v="khalid.alblooshi@gmail.com"/>
    <s v="SKU2210"/>
    <n v="2"/>
    <n v="189"/>
    <n v="0"/>
    <s v="Completed"/>
    <x v="0"/>
    <x v="0"/>
    <d v="2023-01-22T00:00:00"/>
    <x v="5"/>
    <x v="0"/>
    <s v="Wearables"/>
    <n v="95"/>
    <n v="378"/>
    <n v="188"/>
    <n v="49.735449735449734"/>
    <s v="February"/>
    <n v="1"/>
    <n v="32"/>
    <n v="1"/>
  </r>
  <r>
    <s v="noon_sales_feb_2025.csv"/>
    <x v="1"/>
    <s v="N-88902"/>
    <x v="15"/>
    <x v="7"/>
    <s v="guest@noon.com"/>
    <s v="SKU1106"/>
    <n v="1"/>
    <n v="1099"/>
    <n v="110"/>
    <s v="Completed"/>
    <x v="2"/>
    <x v="3"/>
    <m/>
    <x v="3"/>
    <x v="2"/>
    <s v="Cleaning"/>
    <n v="650"/>
    <n v="989"/>
    <n v="339"/>
    <n v="34.277047522750252"/>
    <s v="February"/>
    <n v="1"/>
    <m/>
    <m/>
  </r>
  <r>
    <s v="noon_sales_feb_2025.csv"/>
    <x v="1"/>
    <s v="N-88903"/>
    <x v="15"/>
    <x v="9"/>
    <s v="hamdan.sultan@gmail.com"/>
    <s v="SKU3308"/>
    <n v="1"/>
    <n v="89"/>
    <n v="0"/>
    <s v="Completed"/>
    <x v="4"/>
    <x v="1"/>
    <d v="2023-08-30T00:00:00"/>
    <x v="15"/>
    <x v="1"/>
    <s v="Fragrance"/>
    <n v="42"/>
    <n v="89"/>
    <n v="47"/>
    <n v="52.80898876404494"/>
    <s v="February"/>
    <n v="1"/>
    <n v="46"/>
    <n v="1"/>
  </r>
  <r>
    <s v="noon_sales_feb_2025.csv"/>
    <x v="1"/>
    <s v="N-88904"/>
    <x v="16"/>
    <x v="1"/>
    <s v="fatima.hassan@hotmail.com"/>
    <s v="SKU4401"/>
    <n v="1"/>
    <n v="1299"/>
    <n v="0"/>
    <s v="Completed"/>
    <x v="1"/>
    <x v="1"/>
    <d v="2022-07-02T00:00:00"/>
    <x v="0"/>
    <x v="0"/>
    <s v="TVs"/>
    <n v="820"/>
    <n v="1299"/>
    <n v="479"/>
    <n v="36.87451886066205"/>
    <s v="February"/>
    <n v="1"/>
    <n v="32"/>
    <n v="1"/>
  </r>
  <r>
    <s v="noon_sales_feb_2025.csv"/>
    <x v="1"/>
    <s v="N-88905"/>
    <x v="16"/>
    <x v="13"/>
    <s v="sultan.alremeithi@gmail.com"/>
    <s v="SKU2201"/>
    <n v="2"/>
    <n v="349"/>
    <n v="34.9"/>
    <s v="Completed"/>
    <x v="0"/>
    <x v="2"/>
    <d v="2023-10-12T00:00:00"/>
    <x v="2"/>
    <x v="0"/>
    <s v="Accessories"/>
    <n v="165"/>
    <n v="663.1"/>
    <n v="333.1"/>
    <n v="50.233750565525561"/>
    <s v="February"/>
    <n v="1"/>
    <n v="19"/>
    <n v="1"/>
  </r>
  <r>
    <s v="noon_sales_feb_2025.csv"/>
    <x v="1"/>
    <s v="N-88906"/>
    <x v="17"/>
    <x v="7"/>
    <s v="guest@noon.com"/>
    <s v="SKU3302"/>
    <n v="3"/>
    <n v="45"/>
    <n v="0"/>
    <s v="Completed"/>
    <x v="2"/>
    <x v="3"/>
    <m/>
    <x v="10"/>
    <x v="1"/>
    <s v="Organisation"/>
    <n v="18"/>
    <n v="135"/>
    <n v="81"/>
    <n v="60"/>
    <s v="February"/>
    <n v="1"/>
    <m/>
    <m/>
  </r>
  <r>
    <s v="noon_sales_feb_2025.csv"/>
    <x v="1"/>
    <s v="N-88907"/>
    <x v="17"/>
    <x v="0"/>
    <s v="ahmed.almarzouqi@gmail.com"/>
    <s v="SKU1105"/>
    <n v="1"/>
    <n v="899"/>
    <n v="89.9"/>
    <s v="Completed"/>
    <x v="0"/>
    <x v="0"/>
    <d v="2022-03-15T00:00:00"/>
    <x v="4"/>
    <x v="2"/>
    <s v="Cleaning"/>
    <n v="520"/>
    <n v="809.1"/>
    <n v="289.10000000000002"/>
    <n v="35.731059201582006"/>
    <s v="February"/>
    <n v="1"/>
    <n v="52"/>
    <n v="1"/>
  </r>
  <r>
    <s v="noon_sales_feb_2025.csv"/>
    <x v="1"/>
    <s v="N-88908"/>
    <x v="18"/>
    <x v="14"/>
    <s v="majid.almansoori@gmail.com"/>
    <s v="SKU4403"/>
    <n v="2"/>
    <n v="749"/>
    <n v="75"/>
    <s v="Completed"/>
    <x v="3"/>
    <x v="2"/>
    <d v="2023-12-03T00:00:00"/>
    <x v="6"/>
    <x v="0"/>
    <s v="Tablets"/>
    <n v="490"/>
    <n v="1423"/>
    <n v="443"/>
    <n v="31.131412508784255"/>
    <s v="February"/>
    <n v="1"/>
    <n v="20"/>
    <n v="1"/>
  </r>
  <r>
    <s v="noon_sales_feb_2025.csv"/>
    <x v="1"/>
    <s v="N-88909"/>
    <x v="18"/>
    <x v="15"/>
    <s v="james.mathew@gmail.com"/>
    <s v="SKU2205"/>
    <n v="1"/>
    <n v="529"/>
    <n v="52.9"/>
    <s v="Completed"/>
    <x v="1"/>
    <x v="2"/>
    <d v="2025-01-31T00:00:00"/>
    <x v="9"/>
    <x v="0"/>
    <s v="Audio"/>
    <n v="260"/>
    <n v="476.1"/>
    <n v="216.10000000000002"/>
    <n v="45.389624028565429"/>
    <s v="February"/>
    <n v="1"/>
    <n v="6"/>
    <n v="1"/>
  </r>
  <r>
    <s v="noon_sales_feb_2025.csv"/>
    <x v="1"/>
    <s v="N-88910"/>
    <x v="19"/>
    <x v="7"/>
    <s v="guest@noon.com"/>
    <s v="SKU3305"/>
    <n v="4"/>
    <n v="29"/>
    <n v="0"/>
    <s v="Completed"/>
    <x v="2"/>
    <x v="3"/>
    <m/>
    <x v="11"/>
    <x v="1"/>
    <s v="Cleaning"/>
    <n v="11"/>
    <n v="116"/>
    <n v="72"/>
    <n v="62.068965517241381"/>
    <s v="February"/>
    <n v="1"/>
    <m/>
    <m/>
  </r>
  <r>
    <s v="noon_sales_feb_2025.csv"/>
    <x v="1"/>
    <s v="N-88911"/>
    <x v="19"/>
    <x v="3"/>
    <s v="khalid.alblooshi@gmail.com"/>
    <s v="SKU1101"/>
    <n v="2"/>
    <n v="199"/>
    <n v="20"/>
    <s v="Completed"/>
    <x v="0"/>
    <x v="0"/>
    <d v="2023-01-22T00:00:00"/>
    <x v="8"/>
    <x v="2"/>
    <s v="Kitchen"/>
    <n v="95"/>
    <n v="378"/>
    <n v="188"/>
    <n v="49.735449735449734"/>
    <s v="February"/>
    <n v="1"/>
    <n v="32"/>
    <n v="1"/>
  </r>
  <r>
    <s v="noon_sales_feb_2025.csv"/>
    <x v="1"/>
    <s v="N-88912"/>
    <x v="20"/>
    <x v="9"/>
    <s v="hamdan.sultan@gmail.com"/>
    <s v="SKU4402"/>
    <n v="1"/>
    <n v="599"/>
    <n v="0"/>
    <s v="Completed"/>
    <x v="4"/>
    <x v="1"/>
    <d v="2023-08-30T00:00:00"/>
    <x v="12"/>
    <x v="0"/>
    <s v="Audio"/>
    <n v="350"/>
    <n v="599"/>
    <n v="249"/>
    <n v="41.569282136894827"/>
    <s v="February"/>
    <n v="1"/>
    <n v="46"/>
    <n v="1"/>
  </r>
  <r>
    <s v="noon_sales_feb_2025.csv"/>
    <x v="1"/>
    <s v="N-88913"/>
    <x v="20"/>
    <x v="1"/>
    <s v="fatima.hassan@hotmail.com"/>
    <s v="SKU2209"/>
    <n v="1"/>
    <n v="229"/>
    <n v="22.9"/>
    <s v="Completed"/>
    <x v="1"/>
    <x v="1"/>
    <d v="2022-07-02T00:00:00"/>
    <x v="14"/>
    <x v="0"/>
    <s v="Wearables"/>
    <n v="110"/>
    <n v="206.1"/>
    <n v="96.1"/>
    <n v="46.62785055798156"/>
    <s v="February"/>
    <n v="1"/>
    <n v="32"/>
    <n v="1"/>
  </r>
  <r>
    <s v="noon_sales_feb_2025.csv"/>
    <x v="1"/>
    <s v="N-88914"/>
    <x v="21"/>
    <x v="7"/>
    <s v="guest@noon.com"/>
    <s v="SKU1103"/>
    <n v="1"/>
    <n v="459"/>
    <n v="0"/>
    <s v="Completed"/>
    <x v="2"/>
    <x v="3"/>
    <m/>
    <x v="7"/>
    <x v="2"/>
    <s v="Kitchen"/>
    <n v="210"/>
    <n v="459"/>
    <n v="249"/>
    <n v="54.248366013071895"/>
    <s v="February"/>
    <n v="1"/>
    <m/>
    <m/>
  </r>
  <r>
    <s v="noon_sales_feb_2025.csv"/>
    <x v="1"/>
    <s v="N-88915"/>
    <x v="21"/>
    <x v="13"/>
    <s v="sultan.alremeithi@gmail.com"/>
    <s v="SKU3301"/>
    <n v="3"/>
    <n v="19"/>
    <n v="0"/>
    <s v="Completed"/>
    <x v="0"/>
    <x v="2"/>
    <d v="2023-10-12T00:00:00"/>
    <x v="1"/>
    <x v="1"/>
    <s v="Cleaning"/>
    <n v="8"/>
    <n v="57"/>
    <n v="33"/>
    <n v="57.894736842105267"/>
    <s v="February"/>
    <n v="1"/>
    <n v="19"/>
    <n v="1"/>
  </r>
  <r>
    <s v="noon_sales_feb_2025.csv"/>
    <x v="1"/>
    <s v="N-88916"/>
    <x v="22"/>
    <x v="0"/>
    <s v="ahmed.almarzouqi@gmail.com"/>
    <s v="SKU4404"/>
    <n v="1"/>
    <n v="2199"/>
    <n v="220"/>
    <s v="Completed"/>
    <x v="0"/>
    <x v="0"/>
    <d v="2022-03-15T00:00:00"/>
    <x v="13"/>
    <x v="0"/>
    <s v="TVs"/>
    <n v="1380"/>
    <n v="1979"/>
    <n v="599"/>
    <n v="30.267812026275898"/>
    <s v="February"/>
    <n v="1"/>
    <n v="52"/>
    <n v="1"/>
  </r>
  <r>
    <s v="noon_sales_feb_2025.csv"/>
    <x v="1"/>
    <s v="N-88917"/>
    <x v="22"/>
    <x v="14"/>
    <s v="majid.almansoori@gmail.com"/>
    <s v="SKU2210"/>
    <n v="1"/>
    <n v="189"/>
    <n v="19"/>
    <s v="Completed"/>
    <x v="3"/>
    <x v="2"/>
    <d v="2023-12-03T00:00:00"/>
    <x v="5"/>
    <x v="0"/>
    <s v="Wearables"/>
    <n v="95"/>
    <n v="170"/>
    <n v="75"/>
    <n v="44.117647058823529"/>
    <s v="February"/>
    <n v="1"/>
    <n v="20"/>
    <n v="1"/>
  </r>
  <r>
    <s v="noon_sales_feb_2025.csv"/>
    <x v="1"/>
    <s v="N-88918"/>
    <x v="23"/>
    <x v="7"/>
    <s v="guest@noon.com"/>
    <s v="SKU3308"/>
    <n v="2"/>
    <n v="89"/>
    <n v="8.9"/>
    <s v="Completed"/>
    <x v="2"/>
    <x v="3"/>
    <m/>
    <x v="15"/>
    <x v="1"/>
    <s v="Fragrance"/>
    <n v="42"/>
    <n v="169.1"/>
    <n v="85.1"/>
    <n v="50.325251330573629"/>
    <s v="February"/>
    <n v="1"/>
    <m/>
    <m/>
  </r>
  <r>
    <s v="noon_sales_feb_2025.csv"/>
    <x v="1"/>
    <s v="N-88919"/>
    <x v="23"/>
    <x v="15"/>
    <s v="james.mathew@gmail.com"/>
    <s v="SKU1106"/>
    <n v="1"/>
    <n v="1099"/>
    <n v="110"/>
    <s v="Completed"/>
    <x v="1"/>
    <x v="2"/>
    <d v="2025-01-31T00:00:00"/>
    <x v="3"/>
    <x v="2"/>
    <s v="Cleaning"/>
    <n v="650"/>
    <n v="989"/>
    <n v="339"/>
    <n v="34.277047522750252"/>
    <s v="February"/>
    <n v="1"/>
    <n v="6"/>
    <n v="1"/>
  </r>
  <r>
    <s v="noon_sales_feb_2025.csv"/>
    <x v="1"/>
    <s v="N-88920"/>
    <x v="24"/>
    <x v="3"/>
    <s v="khalid.alblooshi@gmail.com"/>
    <s v="SKU4401"/>
    <n v="1"/>
    <n v="1299"/>
    <n v="130"/>
    <s v="Completed"/>
    <x v="0"/>
    <x v="0"/>
    <d v="2023-01-22T00:00:00"/>
    <x v="0"/>
    <x v="0"/>
    <s v="TVs"/>
    <n v="820"/>
    <n v="1169"/>
    <n v="349"/>
    <n v="29.854576561163388"/>
    <s v="February"/>
    <n v="1"/>
    <n v="32"/>
    <n v="1"/>
  </r>
  <r>
    <s v="noon_sales_feb_2025.csv"/>
    <x v="1"/>
    <s v="N-88921"/>
    <x v="24"/>
    <x v="9"/>
    <s v="hamdan.sultan@gmail.com"/>
    <s v="SKU2201"/>
    <n v="2"/>
    <n v="349"/>
    <n v="0"/>
    <s v="Completed"/>
    <x v="4"/>
    <x v="1"/>
    <d v="2023-08-30T00:00:00"/>
    <x v="2"/>
    <x v="0"/>
    <s v="Accessories"/>
    <n v="165"/>
    <n v="698"/>
    <n v="368"/>
    <n v="52.722063037249278"/>
    <s v="February"/>
    <n v="1"/>
    <n v="46"/>
    <n v="1"/>
  </r>
  <r>
    <s v="noon_sales_feb_2025.csv"/>
    <x v="1"/>
    <s v="N-88922"/>
    <x v="25"/>
    <x v="7"/>
    <s v="guest@noon.com"/>
    <s v="SKU3302"/>
    <n v="2"/>
    <n v="45"/>
    <n v="0"/>
    <s v="Completed"/>
    <x v="2"/>
    <x v="3"/>
    <m/>
    <x v="10"/>
    <x v="1"/>
    <s v="Organisation"/>
    <n v="18"/>
    <n v="90"/>
    <n v="54"/>
    <n v="60"/>
    <s v="February"/>
    <n v="1"/>
    <m/>
    <m/>
  </r>
  <r>
    <s v="noon_sales_feb_2025.csv"/>
    <x v="1"/>
    <s v="N-88923"/>
    <x v="25"/>
    <x v="1"/>
    <s v="fatima.hassan@hotmail.com"/>
    <s v="SKU1105"/>
    <n v="1"/>
    <n v="899"/>
    <n v="0"/>
    <s v="Completed"/>
    <x v="1"/>
    <x v="1"/>
    <d v="2022-07-02T00:00:00"/>
    <x v="4"/>
    <x v="2"/>
    <s v="Cleaning"/>
    <n v="520"/>
    <n v="899"/>
    <n v="379"/>
    <n v="42.157953281423808"/>
    <s v="February"/>
    <n v="1"/>
    <n v="32"/>
    <n v="1"/>
  </r>
  <r>
    <s v="noon_sales_feb_2025.csv"/>
    <x v="1"/>
    <s v="N-88924"/>
    <x v="26"/>
    <x v="13"/>
    <s v="sultan.alremeithi@gmail.com"/>
    <s v="SKU4403"/>
    <n v="1"/>
    <n v="749"/>
    <n v="74.900000000000006"/>
    <s v="Completed"/>
    <x v="0"/>
    <x v="2"/>
    <d v="2023-10-12T00:00:00"/>
    <x v="6"/>
    <x v="0"/>
    <s v="Tablets"/>
    <n v="490"/>
    <n v="674.1"/>
    <n v="184.10000000000002"/>
    <n v="27.310488058151609"/>
    <s v="February"/>
    <n v="1"/>
    <n v="19"/>
    <n v="1"/>
  </r>
  <r>
    <s v="noon_sales_feb_2025.csv"/>
    <x v="1"/>
    <s v="N-88925"/>
    <x v="26"/>
    <x v="0"/>
    <s v="ahmed.almarzouqi@gmail.com"/>
    <s v="SKU2205"/>
    <n v="2"/>
    <n v="529"/>
    <n v="53"/>
    <s v="Completed"/>
    <x v="0"/>
    <x v="0"/>
    <d v="2022-03-15T00:00:00"/>
    <x v="9"/>
    <x v="0"/>
    <s v="Audio"/>
    <n v="260"/>
    <n v="1005"/>
    <n v="485"/>
    <n v="48.258706467661696"/>
    <s v="February"/>
    <n v="1"/>
    <n v="52"/>
    <n v="1"/>
  </r>
  <r>
    <s v="noon_sales_feb_2025.csv"/>
    <x v="1"/>
    <s v="N-88926"/>
    <x v="27"/>
    <x v="7"/>
    <s v="guest@noon.com"/>
    <s v="SKU3305"/>
    <n v="3"/>
    <n v="29"/>
    <n v="0"/>
    <s v="Completed"/>
    <x v="2"/>
    <x v="3"/>
    <m/>
    <x v="11"/>
    <x v="1"/>
    <s v="Cleaning"/>
    <n v="11"/>
    <n v="87"/>
    <n v="54"/>
    <n v="62.068965517241381"/>
    <s v="February"/>
    <n v="1"/>
    <m/>
    <m/>
  </r>
  <r>
    <s v="noon_sales_feb_2025.csv"/>
    <x v="1"/>
    <s v="N-88927"/>
    <x v="27"/>
    <x v="14"/>
    <s v="majid.almansoori@gmail.com"/>
    <s v="SKU1101"/>
    <n v="2"/>
    <n v="199"/>
    <n v="20"/>
    <s v="Completed"/>
    <x v="3"/>
    <x v="2"/>
    <d v="2023-12-03T00:00:00"/>
    <x v="8"/>
    <x v="2"/>
    <s v="Kitchen"/>
    <n v="95"/>
    <n v="378"/>
    <n v="188"/>
    <n v="49.735449735449734"/>
    <s v="February"/>
    <n v="1"/>
    <n v="20"/>
    <n v="1"/>
  </r>
  <r>
    <s v="noon_sales_jan_2025.csv"/>
    <x v="1"/>
    <s v="N-88821"/>
    <x v="28"/>
    <x v="1"/>
    <s v="fatima.hassan@hotmail.com"/>
    <s v="SKU2201"/>
    <n v="1"/>
    <n v="349"/>
    <n v="0"/>
    <s v="Completed"/>
    <x v="1"/>
    <x v="1"/>
    <d v="2022-07-02T00:00:00"/>
    <x v="2"/>
    <x v="0"/>
    <s v="Accessories"/>
    <n v="165"/>
    <n v="349"/>
    <n v="184"/>
    <n v="52.722063037249278"/>
    <s v="January"/>
    <n v="1"/>
    <n v="32"/>
    <n v="1"/>
  </r>
  <r>
    <s v="noon_sales_jan_2025.csv"/>
    <x v="1"/>
    <s v="N-88822"/>
    <x v="28"/>
    <x v="13"/>
    <s v="sultan.alremeithi@gmail.com"/>
    <s v="SKU1101"/>
    <n v="2"/>
    <n v="199"/>
    <n v="20"/>
    <s v="Completed"/>
    <x v="0"/>
    <x v="2"/>
    <d v="2023-10-12T00:00:00"/>
    <x v="8"/>
    <x v="2"/>
    <s v="Kitchen"/>
    <n v="95"/>
    <n v="378"/>
    <n v="188"/>
    <n v="49.735449735449734"/>
    <s v="January"/>
    <n v="1"/>
    <n v="19"/>
    <n v="1"/>
  </r>
  <r>
    <s v="noon_sales_jan_2025.csv"/>
    <x v="1"/>
    <s v="N-88823"/>
    <x v="29"/>
    <x v="7"/>
    <s v="guest@noon.com"/>
    <s v="SKU3302"/>
    <n v="1"/>
    <n v="45"/>
    <n v="0"/>
    <s v="Completed"/>
    <x v="2"/>
    <x v="3"/>
    <m/>
    <x v="10"/>
    <x v="1"/>
    <s v="Organisation"/>
    <n v="18"/>
    <n v="45"/>
    <n v="27"/>
    <n v="60"/>
    <s v="January"/>
    <n v="1"/>
    <m/>
    <m/>
  </r>
  <r>
    <s v="noon_sales_jan_2025.csv"/>
    <x v="1"/>
    <s v="N-88824"/>
    <x v="30"/>
    <x v="8"/>
    <s v="layla.nasser@gmail.com"/>
    <s v="SKU4401"/>
    <n v="1"/>
    <n v="1299"/>
    <n v="0"/>
    <s v="Completed"/>
    <x v="3"/>
    <x v="1"/>
    <d v="2023-01-05T00:00:00"/>
    <x v="0"/>
    <x v="0"/>
    <s v="TVs"/>
    <n v="820"/>
    <n v="1299"/>
    <n v="479"/>
    <n v="36.87451886066205"/>
    <s v="January"/>
    <n v="1"/>
    <n v="35"/>
    <n v="1"/>
  </r>
  <r>
    <s v="noon_sales_jan_2025.csv"/>
    <x v="1"/>
    <s v="N-88825"/>
    <x v="30"/>
    <x v="14"/>
    <s v="majid.almansoori@gmail.com"/>
    <s v="SKU2205"/>
    <n v="2"/>
    <n v="529"/>
    <n v="50"/>
    <s v="Completed"/>
    <x v="3"/>
    <x v="2"/>
    <d v="2023-12-03T00:00:00"/>
    <x v="9"/>
    <x v="0"/>
    <s v="Audio"/>
    <n v="260"/>
    <n v="1008"/>
    <n v="488"/>
    <n v="48.412698412698411"/>
    <s v="January"/>
    <n v="1"/>
    <n v="20"/>
    <n v="1"/>
  </r>
  <r>
    <s v="noon_sales_jan_2025.csv"/>
    <x v="1"/>
    <s v="N-88826"/>
    <x v="31"/>
    <x v="5"/>
    <s v="omar.farooq@gmail.com"/>
    <s v="SKU1105"/>
    <n v="1"/>
    <n v="899"/>
    <n v="90"/>
    <s v="Completed"/>
    <x v="0"/>
    <x v="1"/>
    <d v="2022-11-18T00:00:00"/>
    <x v="4"/>
    <x v="2"/>
    <s v="Cleaning"/>
    <n v="520"/>
    <n v="809"/>
    <n v="289"/>
    <n v="35.723114956736715"/>
    <s v="January"/>
    <n v="1"/>
    <n v="32"/>
    <n v="1"/>
  </r>
  <r>
    <s v="noon_sales_jan_2025.csv"/>
    <x v="1"/>
    <s v="N-88827"/>
    <x v="31"/>
    <x v="7"/>
    <s v="guest@noon.com"/>
    <s v="SKU3305"/>
    <n v="3"/>
    <n v="29"/>
    <n v="0"/>
    <s v="Completed"/>
    <x v="2"/>
    <x v="3"/>
    <m/>
    <x v="11"/>
    <x v="1"/>
    <s v="Cleaning"/>
    <n v="11"/>
    <n v="87"/>
    <n v="54"/>
    <n v="62.068965517241381"/>
    <s v="January"/>
    <n v="1"/>
    <m/>
    <m/>
  </r>
  <r>
    <s v="noon_sales_jan_2025.csv"/>
    <x v="1"/>
    <s v="N-88828"/>
    <x v="32"/>
    <x v="9"/>
    <s v="hamdan.sultan@gmail.com"/>
    <s v="SKU4403"/>
    <n v="1"/>
    <n v="749"/>
    <n v="0"/>
    <s v="Completed"/>
    <x v="4"/>
    <x v="1"/>
    <d v="2023-08-30T00:00:00"/>
    <x v="6"/>
    <x v="0"/>
    <s v="Tablets"/>
    <n v="490"/>
    <n v="749"/>
    <n v="259"/>
    <n v="34.579439252336449"/>
    <s v="January"/>
    <n v="1"/>
    <n v="46"/>
    <n v="1"/>
  </r>
  <r>
    <s v="noon_sales_jan_2025.csv"/>
    <x v="1"/>
    <s v="N-88830"/>
    <x v="33"/>
    <x v="0"/>
    <s v="ahmed.almarzouqi@gmail.com"/>
    <s v="SKU1103"/>
    <n v="1"/>
    <n v="459"/>
    <n v="46"/>
    <s v="Completed"/>
    <x v="0"/>
    <x v="0"/>
    <d v="2022-03-15T00:00:00"/>
    <x v="7"/>
    <x v="2"/>
    <s v="Kitchen"/>
    <n v="210"/>
    <n v="413"/>
    <n v="203"/>
    <n v="49.152542372881356"/>
    <s v="January"/>
    <n v="1"/>
    <n v="52"/>
    <n v="1"/>
  </r>
  <r>
    <s v="noon_sales_jan_2025.csv"/>
    <x v="1"/>
    <s v="N-88831"/>
    <x v="34"/>
    <x v="7"/>
    <s v="guest@noon.com"/>
    <s v="SKU3301"/>
    <n v="4"/>
    <n v="19"/>
    <n v="0"/>
    <s v="Completed"/>
    <x v="2"/>
    <x v="3"/>
    <m/>
    <x v="1"/>
    <x v="1"/>
    <s v="Cleaning"/>
    <n v="8"/>
    <n v="76"/>
    <n v="44"/>
    <n v="57.894736842105267"/>
    <s v="January"/>
    <n v="1"/>
    <m/>
    <m/>
  </r>
  <r>
    <s v="noon_sales_jan_2025.csv"/>
    <x v="1"/>
    <s v="N-88832"/>
    <x v="34"/>
    <x v="14"/>
    <s v="majid.almansoori@gmail.com"/>
    <s v="SKU4402"/>
    <n v="1"/>
    <n v="599"/>
    <n v="0"/>
    <s v="Completed"/>
    <x v="3"/>
    <x v="2"/>
    <d v="2023-12-03T00:00:00"/>
    <x v="12"/>
    <x v="0"/>
    <s v="Audio"/>
    <n v="350"/>
    <n v="599"/>
    <n v="249"/>
    <n v="41.569282136894827"/>
    <s v="January"/>
    <n v="1"/>
    <n v="20"/>
    <n v="1"/>
  </r>
  <r>
    <s v="noon_sales_jan_2025.csv"/>
    <x v="1"/>
    <s v="N-88833"/>
    <x v="35"/>
    <x v="3"/>
    <s v="khalid.alblooshi@gmail.com"/>
    <s v="SKU1106"/>
    <n v="1"/>
    <n v="1099"/>
    <n v="110"/>
    <s v="Completed"/>
    <x v="0"/>
    <x v="0"/>
    <d v="2023-01-22T00:00:00"/>
    <x v="3"/>
    <x v="2"/>
    <s v="Cleaning"/>
    <n v="650"/>
    <n v="989"/>
    <n v="339"/>
    <n v="34.277047522750252"/>
    <s v="January"/>
    <n v="1"/>
    <n v="32"/>
    <n v="1"/>
  </r>
  <r>
    <s v="noon_sales_jan_2025.csv"/>
    <x v="1"/>
    <s v="N-88834"/>
    <x v="36"/>
    <x v="1"/>
    <s v="fatima.hassan@hotmail.com"/>
    <s v="SKU2201"/>
    <n v="2"/>
    <n v="349"/>
    <n v="0"/>
    <s v="Completed"/>
    <x v="1"/>
    <x v="1"/>
    <d v="2022-07-02T00:00:00"/>
    <x v="2"/>
    <x v="0"/>
    <s v="Accessories"/>
    <n v="165"/>
    <n v="698"/>
    <n v="368"/>
    <n v="52.722063037249278"/>
    <s v="January"/>
    <n v="1"/>
    <n v="32"/>
    <n v="1"/>
  </r>
  <r>
    <s v="noon_sales_jan_2025.csv"/>
    <x v="1"/>
    <s v="N-88835"/>
    <x v="36"/>
    <x v="7"/>
    <s v="guest@noon.com"/>
    <s v="SKU3308"/>
    <n v="1"/>
    <n v="89"/>
    <n v="0"/>
    <s v="Completed"/>
    <x v="2"/>
    <x v="3"/>
    <m/>
    <x v="15"/>
    <x v="1"/>
    <s v="Fragrance"/>
    <n v="42"/>
    <n v="89"/>
    <n v="47"/>
    <n v="52.80898876404494"/>
    <s v="January"/>
    <n v="1"/>
    <m/>
    <m/>
  </r>
  <r>
    <s v="noon_sales_jan_2025.csv"/>
    <x v="1"/>
    <s v="N-88837"/>
    <x v="37"/>
    <x v="13"/>
    <s v="sultan.alremeithi@gmail.com"/>
    <s v="SKU1101"/>
    <n v="1"/>
    <n v="199"/>
    <n v="0"/>
    <s v="Completed"/>
    <x v="0"/>
    <x v="2"/>
    <d v="2023-10-12T00:00:00"/>
    <x v="8"/>
    <x v="2"/>
    <s v="Kitchen"/>
    <n v="95"/>
    <n v="199"/>
    <n v="104"/>
    <n v="52.261306532663319"/>
    <s v="January"/>
    <n v="1"/>
    <n v="19"/>
    <n v="1"/>
  </r>
  <r>
    <s v="noon_sales_jan_2025.csv"/>
    <x v="1"/>
    <s v="N-88838"/>
    <x v="38"/>
    <x v="8"/>
    <s v="layla.nasser@gmail.com"/>
    <s v="SKU2210"/>
    <n v="1"/>
    <n v="189"/>
    <n v="19"/>
    <s v="Completed"/>
    <x v="3"/>
    <x v="1"/>
    <d v="2023-01-05T00:00:00"/>
    <x v="5"/>
    <x v="0"/>
    <s v="Wearables"/>
    <n v="95"/>
    <n v="170"/>
    <n v="75"/>
    <n v="44.117647058823529"/>
    <s v="January"/>
    <n v="1"/>
    <n v="35"/>
    <n v="1"/>
  </r>
  <r>
    <s v="noon_sales_jan_2025.csv"/>
    <x v="1"/>
    <s v="N-88839"/>
    <x v="39"/>
    <x v="7"/>
    <s v="guest@noon.com"/>
    <s v="SKU3302"/>
    <n v="5"/>
    <n v="45"/>
    <n v="22.5"/>
    <s v="Completed"/>
    <x v="2"/>
    <x v="3"/>
    <m/>
    <x v="10"/>
    <x v="1"/>
    <s v="Organisation"/>
    <n v="18"/>
    <n v="202.5"/>
    <n v="112.5"/>
    <n v="55.555555555555557"/>
    <s v="January"/>
    <n v="1"/>
    <m/>
    <m/>
  </r>
  <r>
    <s v="noon_sales_jan_2025.csv"/>
    <x v="1"/>
    <s v="N-88840"/>
    <x v="39"/>
    <x v="0"/>
    <s v="ahmed.almarzouqi@gmail.com"/>
    <s v="SKU4401"/>
    <n v="1"/>
    <n v="1299"/>
    <n v="130"/>
    <s v="Completed"/>
    <x v="0"/>
    <x v="0"/>
    <d v="2022-03-15T00:00:00"/>
    <x v="0"/>
    <x v="0"/>
    <s v="TVs"/>
    <n v="820"/>
    <n v="1169"/>
    <n v="349"/>
    <n v="29.854576561163388"/>
    <s v="January"/>
    <n v="1"/>
    <n v="52"/>
    <n v="1"/>
  </r>
  <r>
    <s v="noon_sales_jan_2025.csv"/>
    <x v="1"/>
    <s v="N-88841"/>
    <x v="40"/>
    <x v="14"/>
    <s v="majid.almansoori@gmail.com"/>
    <s v="SKU1105"/>
    <n v="2"/>
    <n v="899"/>
    <n v="0"/>
    <s v="Completed"/>
    <x v="3"/>
    <x v="2"/>
    <d v="2023-12-03T00:00:00"/>
    <x v="4"/>
    <x v="2"/>
    <s v="Cleaning"/>
    <n v="520"/>
    <n v="1798"/>
    <n v="758"/>
    <n v="42.157953281423808"/>
    <s v="January"/>
    <n v="1"/>
    <n v="20"/>
    <n v="1"/>
  </r>
  <r>
    <s v="noon_sales_jan_2025.csv"/>
    <x v="1"/>
    <s v="N-88842"/>
    <x v="40"/>
    <x v="9"/>
    <s v="hamdan.sultan@gmail.com"/>
    <s v="SKU2205"/>
    <n v="1"/>
    <n v="529"/>
    <n v="52.9"/>
    <s v="Completed"/>
    <x v="4"/>
    <x v="1"/>
    <d v="2023-08-30T00:00:00"/>
    <x v="9"/>
    <x v="0"/>
    <s v="Audio"/>
    <n v="260"/>
    <n v="476.1"/>
    <n v="216.10000000000002"/>
    <n v="45.389624028565429"/>
    <s v="January"/>
    <n v="1"/>
    <n v="46"/>
    <n v="1"/>
  </r>
  <r>
    <s v="noon_sales_jan_2025.csv"/>
    <x v="1"/>
    <s v="N-88843"/>
    <x v="41"/>
    <x v="3"/>
    <s v="khalid.alblooshi@gmail.com"/>
    <s v="SKU3305"/>
    <n v="2"/>
    <n v="29"/>
    <n v="0"/>
    <s v="Completed"/>
    <x v="0"/>
    <x v="0"/>
    <d v="2023-01-22T00:00:00"/>
    <x v="11"/>
    <x v="1"/>
    <s v="Cleaning"/>
    <n v="11"/>
    <n v="58"/>
    <n v="36"/>
    <n v="62.068965517241381"/>
    <s v="January"/>
    <n v="1"/>
    <n v="32"/>
    <n v="1"/>
  </r>
  <r>
    <s v="noon_sales_jan_2025.csv"/>
    <x v="1"/>
    <s v="N-88844"/>
    <x v="42"/>
    <x v="7"/>
    <s v="guest@noon.com"/>
    <s v="SKU4403"/>
    <n v="1"/>
    <n v="749"/>
    <n v="75"/>
    <s v="Completed"/>
    <x v="2"/>
    <x v="3"/>
    <m/>
    <x v="6"/>
    <x v="0"/>
    <s v="Tablets"/>
    <n v="490"/>
    <n v="674"/>
    <n v="184"/>
    <n v="27.299703264094955"/>
    <s v="January"/>
    <n v="1"/>
    <m/>
    <m/>
  </r>
  <r>
    <s v="noon_sales_jan_2025.csv"/>
    <x v="1"/>
    <s v="N-88845"/>
    <x v="42"/>
    <x v="5"/>
    <s v="omar.farooq@gmail.com"/>
    <s v="SKU1103"/>
    <n v="1"/>
    <n v="459"/>
    <n v="0"/>
    <s v="Completed"/>
    <x v="0"/>
    <x v="1"/>
    <d v="2022-11-18T00:00:00"/>
    <x v="7"/>
    <x v="2"/>
    <s v="Kitchen"/>
    <n v="210"/>
    <n v="459"/>
    <n v="249"/>
    <n v="54.248366013071895"/>
    <s v="January"/>
    <n v="1"/>
    <n v="32"/>
    <n v="1"/>
  </r>
  <r>
    <s v="noon_sales_jan_2025.csv"/>
    <x v="1"/>
    <s v="N-88846"/>
    <x v="43"/>
    <x v="1"/>
    <s v="fatima.hassan@hotmail.com"/>
    <s v="SKU2209"/>
    <n v="1"/>
    <n v="229"/>
    <n v="0"/>
    <s v="Completed"/>
    <x v="1"/>
    <x v="1"/>
    <d v="2022-07-02T00:00:00"/>
    <x v="14"/>
    <x v="0"/>
    <s v="Wearables"/>
    <n v="110"/>
    <n v="229"/>
    <n v="119"/>
    <n v="51.965065502183407"/>
    <s v="January"/>
    <n v="1"/>
    <n v="32"/>
    <n v="1"/>
  </r>
  <r>
    <s v="noon_sales_jan_2025.csv"/>
    <x v="1"/>
    <s v="N-88847"/>
    <x v="44"/>
    <x v="6"/>
    <s v="sara.yousuf@gmail.com"/>
    <s v="SKU3301"/>
    <n v="3"/>
    <n v="19"/>
    <n v="0"/>
    <s v="Completed"/>
    <x v="0"/>
    <x v="1"/>
    <d v="2023-04-14T00:00:00"/>
    <x v="1"/>
    <x v="1"/>
    <s v="Cleaning"/>
    <n v="8"/>
    <n v="57"/>
    <n v="33"/>
    <n v="57.894736842105267"/>
    <s v="January"/>
    <n v="1"/>
    <n v="18"/>
    <n v="1"/>
  </r>
  <r>
    <s v="noon_sales_jan_2025.csv"/>
    <x v="1"/>
    <s v="N-88848"/>
    <x v="44"/>
    <x v="13"/>
    <s v="sultan.alremeithi@gmail.com"/>
    <s v="SKU4402"/>
    <n v="1"/>
    <n v="599"/>
    <n v="59.9"/>
    <s v="Completed"/>
    <x v="0"/>
    <x v="2"/>
    <d v="2023-10-12T00:00:00"/>
    <x v="12"/>
    <x v="0"/>
    <s v="Audio"/>
    <n v="350"/>
    <n v="539.1"/>
    <n v="189.10000000000002"/>
    <n v="35.076980152105364"/>
    <s v="January"/>
    <n v="1"/>
    <n v="19"/>
    <n v="1"/>
  </r>
  <r>
    <s v="noon_sales_jan_2025.csv"/>
    <x v="1"/>
    <s v="N-88849"/>
    <x v="45"/>
    <x v="7"/>
    <s v="guest@noon.com"/>
    <s v="SKU1106"/>
    <n v="1"/>
    <n v="1099"/>
    <n v="0"/>
    <s v="Completed"/>
    <x v="2"/>
    <x v="3"/>
    <m/>
    <x v="3"/>
    <x v="2"/>
    <s v="Cleaning"/>
    <n v="650"/>
    <n v="1099"/>
    <n v="449"/>
    <n v="40.855323020928111"/>
    <s v="January"/>
    <n v="1"/>
    <m/>
    <m/>
  </r>
  <r>
    <s v="noon_sales_jan_2025.csv"/>
    <x v="1"/>
    <s v="N-88850"/>
    <x v="46"/>
    <x v="14"/>
    <s v="majid.almansoori@gmail.com"/>
    <s v="SKU2201"/>
    <n v="3"/>
    <n v="349"/>
    <n v="35"/>
    <s v="Completed"/>
    <x v="3"/>
    <x v="2"/>
    <d v="2023-12-03T00:00:00"/>
    <x v="2"/>
    <x v="0"/>
    <s v="Accessories"/>
    <n v="165"/>
    <n v="1012"/>
    <n v="517"/>
    <n v="51.086956521739133"/>
    <s v="January"/>
    <n v="1"/>
    <n v="20"/>
    <n v="1"/>
  </r>
  <r>
    <s v="noon_sales_jan_2025.csv"/>
    <x v="1"/>
    <s v="N-88851"/>
    <x v="46"/>
    <x v="0"/>
    <s v="ahmed.almarzouqi@gmail.com"/>
    <s v="SKU3308"/>
    <n v="2"/>
    <n v="89"/>
    <n v="0"/>
    <s v="Completed"/>
    <x v="0"/>
    <x v="0"/>
    <d v="2022-03-15T00:00:00"/>
    <x v="15"/>
    <x v="1"/>
    <s v="Fragrance"/>
    <n v="42"/>
    <n v="178"/>
    <n v="94"/>
    <n v="52.80898876404494"/>
    <s v="January"/>
    <n v="1"/>
    <n v="52"/>
    <n v="1"/>
  </r>
  <r>
    <s v="noon_sales_jan_2025.csv"/>
    <x v="1"/>
    <s v="N-88852"/>
    <x v="47"/>
    <x v="8"/>
    <s v="layla.nasser@gmail.com"/>
    <s v="SKU4404"/>
    <n v="1"/>
    <n v="2199"/>
    <n v="0"/>
    <s v="Completed"/>
    <x v="3"/>
    <x v="1"/>
    <d v="2023-01-05T00:00:00"/>
    <x v="13"/>
    <x v="0"/>
    <s v="TVs"/>
    <n v="1380"/>
    <n v="2199"/>
    <n v="819"/>
    <n v="37.244201909959074"/>
    <s v="January"/>
    <n v="1"/>
    <n v="35"/>
    <n v="1"/>
  </r>
  <r>
    <s v="noon_sales_jan_2025.csv"/>
    <x v="1"/>
    <s v="N-88853"/>
    <x v="48"/>
    <x v="9"/>
    <s v="hamdan.sultan@gmail.com"/>
    <s v="SKU1101"/>
    <n v="2"/>
    <n v="199"/>
    <n v="20"/>
    <s v="Completed"/>
    <x v="4"/>
    <x v="1"/>
    <d v="2023-08-30T00:00:00"/>
    <x v="8"/>
    <x v="2"/>
    <s v="Kitchen"/>
    <n v="95"/>
    <n v="378"/>
    <n v="188"/>
    <n v="49.735449735449734"/>
    <s v="January"/>
    <n v="1"/>
    <n v="46"/>
    <n v="1"/>
  </r>
  <r>
    <s v="noon_sales_jan_2025.csv"/>
    <x v="1"/>
    <s v="N-88854"/>
    <x v="48"/>
    <x v="7"/>
    <s v="guest@noon.com"/>
    <s v="SKU2210"/>
    <n v="1"/>
    <n v="189"/>
    <n v="0"/>
    <s v="Completed"/>
    <x v="2"/>
    <x v="3"/>
    <m/>
    <x v="5"/>
    <x v="0"/>
    <s v="Wearables"/>
    <n v="95"/>
    <n v="189"/>
    <n v="94"/>
    <n v="49.735449735449734"/>
    <s v="January"/>
    <n v="1"/>
    <m/>
    <m/>
  </r>
  <r>
    <s v="noon_sales_jan_2025.csv"/>
    <x v="1"/>
    <s v="N-88855"/>
    <x v="49"/>
    <x v="3"/>
    <s v="khalid.alblooshi@gmail.com"/>
    <s v="SKU3302"/>
    <n v="3"/>
    <n v="45"/>
    <n v="0"/>
    <s v="Completed"/>
    <x v="0"/>
    <x v="0"/>
    <d v="2023-01-22T00:00:00"/>
    <x v="10"/>
    <x v="1"/>
    <s v="Organisation"/>
    <n v="18"/>
    <n v="135"/>
    <n v="81"/>
    <n v="60"/>
    <s v="January"/>
    <n v="1"/>
    <n v="32"/>
    <n v="1"/>
  </r>
  <r>
    <s v="noon_sales_jan_2025.csv"/>
    <x v="1"/>
    <s v="N-88857"/>
    <x v="50"/>
    <x v="6"/>
    <s v="sara.yousuf@gmail.com"/>
    <s v="SKU1105"/>
    <n v="1"/>
    <n v="899"/>
    <n v="89.9"/>
    <s v="Completed"/>
    <x v="0"/>
    <x v="1"/>
    <d v="2023-04-14T00:00:00"/>
    <x v="4"/>
    <x v="2"/>
    <s v="Cleaning"/>
    <n v="520"/>
    <n v="809.1"/>
    <n v="289.10000000000002"/>
    <n v="35.731059201582006"/>
    <s v="January"/>
    <n v="1"/>
    <n v="18"/>
    <n v="1"/>
  </r>
  <r>
    <s v="noon_sales_jan_2025.csv"/>
    <x v="1"/>
    <s v="N-88858"/>
    <x v="51"/>
    <x v="7"/>
    <s v="guest@noon.com"/>
    <s v="SKU2205"/>
    <n v="2"/>
    <n v="529"/>
    <n v="0"/>
    <s v="Completed"/>
    <x v="2"/>
    <x v="3"/>
    <m/>
    <x v="9"/>
    <x v="0"/>
    <s v="Audio"/>
    <n v="260"/>
    <n v="1058"/>
    <n v="538"/>
    <n v="50.850661625708881"/>
    <s v="January"/>
    <n v="1"/>
    <m/>
    <m/>
  </r>
  <r>
    <s v="noon_sales_jan_2025.csv"/>
    <x v="1"/>
    <s v="N-88859"/>
    <x v="51"/>
    <x v="13"/>
    <s v="sultan.alremeithi@gmail.com"/>
    <s v="SKU3305"/>
    <n v="4"/>
    <n v="29"/>
    <n v="0"/>
    <s v="Completed"/>
    <x v="0"/>
    <x v="2"/>
    <d v="2023-10-12T00:00:00"/>
    <x v="11"/>
    <x v="1"/>
    <s v="Cleaning"/>
    <n v="11"/>
    <n v="116"/>
    <n v="72"/>
    <n v="62.068965517241381"/>
    <s v="January"/>
    <n v="1"/>
    <n v="19"/>
    <n v="1"/>
  </r>
  <r>
    <s v="noon_sales_jan_2025.csv"/>
    <x v="1"/>
    <s v="N-88860"/>
    <x v="52"/>
    <x v="14"/>
    <s v="majid.almansoori@gmail.com"/>
    <s v="SKU4402"/>
    <n v="1"/>
    <n v="599"/>
    <n v="0"/>
    <s v="Completed"/>
    <x v="3"/>
    <x v="2"/>
    <d v="2023-12-03T00:00:00"/>
    <x v="12"/>
    <x v="0"/>
    <s v="Audio"/>
    <n v="350"/>
    <n v="599"/>
    <n v="249"/>
    <n v="41.569282136894827"/>
    <s v="January"/>
    <n v="1"/>
    <n v="20"/>
    <n v="1"/>
  </r>
  <r>
    <s v="noon_sales_jan_2025.csv"/>
    <x v="1"/>
    <s v="N-88861"/>
    <x v="53"/>
    <x v="0"/>
    <s v="ahmed.almarzouqi@gmail.com"/>
    <s v="SKU1103"/>
    <n v="2"/>
    <n v="459"/>
    <n v="46"/>
    <s v="Completed"/>
    <x v="0"/>
    <x v="0"/>
    <d v="2022-03-15T00:00:00"/>
    <x v="7"/>
    <x v="2"/>
    <s v="Kitchen"/>
    <n v="210"/>
    <n v="872"/>
    <n v="452"/>
    <n v="51.834862385321102"/>
    <s v="January"/>
    <n v="1"/>
    <n v="52"/>
    <n v="1"/>
  </r>
  <r>
    <s v="noon_sales_jan_2025.csv"/>
    <x v="1"/>
    <s v="N-88862"/>
    <x v="53"/>
    <x v="1"/>
    <s v="fatima.hassan@hotmail.com"/>
    <s v="SKU3301"/>
    <n v="5"/>
    <n v="19"/>
    <n v="0"/>
    <s v="Completed"/>
    <x v="1"/>
    <x v="1"/>
    <d v="2022-07-02T00:00:00"/>
    <x v="1"/>
    <x v="1"/>
    <s v="Cleaning"/>
    <n v="8"/>
    <n v="95"/>
    <n v="55"/>
    <n v="57.894736842105267"/>
    <s v="January"/>
    <n v="1"/>
    <n v="32"/>
    <n v="1"/>
  </r>
  <r>
    <s v="noon_sales_jan_2025.csv"/>
    <x v="1"/>
    <s v="N-88863"/>
    <x v="54"/>
    <x v="8"/>
    <s v="layla.nasser@gmail.com"/>
    <s v="SKU2209"/>
    <n v="1"/>
    <n v="229"/>
    <n v="22.9"/>
    <s v="Completed"/>
    <x v="3"/>
    <x v="1"/>
    <d v="2023-01-05T00:00:00"/>
    <x v="14"/>
    <x v="0"/>
    <s v="Wearables"/>
    <n v="110"/>
    <n v="206.1"/>
    <n v="96.1"/>
    <n v="46.62785055798156"/>
    <s v="January"/>
    <n v="1"/>
    <n v="35"/>
    <n v="1"/>
  </r>
  <r>
    <s v="noon_sales_jan_2025.csv"/>
    <x v="1"/>
    <s v="N-88864"/>
    <x v="55"/>
    <x v="7"/>
    <s v="guest@noon.com"/>
    <s v="SKU4403"/>
    <n v="2"/>
    <n v="749"/>
    <n v="0"/>
    <s v="Completed"/>
    <x v="2"/>
    <x v="3"/>
    <m/>
    <x v="6"/>
    <x v="0"/>
    <s v="Tablets"/>
    <n v="490"/>
    <n v="1498"/>
    <n v="518"/>
    <n v="34.579439252336449"/>
    <s v="January"/>
    <n v="1"/>
    <m/>
    <m/>
  </r>
  <r>
    <s v="noon_sales_jan_2025.csv"/>
    <x v="1"/>
    <s v="N-88865"/>
    <x v="55"/>
    <x v="9"/>
    <s v="hamdan.sultan@gmail.com"/>
    <s v="SKU1106"/>
    <n v="1"/>
    <n v="1099"/>
    <n v="110"/>
    <s v="Completed"/>
    <x v="4"/>
    <x v="1"/>
    <d v="2023-08-30T00:00:00"/>
    <x v="3"/>
    <x v="2"/>
    <s v="Cleaning"/>
    <n v="650"/>
    <n v="989"/>
    <n v="339"/>
    <n v="34.277047522750252"/>
    <s v="January"/>
    <n v="1"/>
    <n v="46"/>
    <n v="1"/>
  </r>
  <r>
    <s v="noon_sales_jan_2025.csv"/>
    <x v="1"/>
    <s v="N-88866"/>
    <x v="56"/>
    <x v="3"/>
    <s v="khalid.alblooshi@gmail.com"/>
    <s v="SKU3308"/>
    <n v="1"/>
    <n v="89"/>
    <n v="0"/>
    <s v="Completed"/>
    <x v="0"/>
    <x v="0"/>
    <d v="2023-01-22T00:00:00"/>
    <x v="15"/>
    <x v="1"/>
    <s v="Fragrance"/>
    <n v="42"/>
    <n v="89"/>
    <n v="47"/>
    <n v="52.80898876404494"/>
    <s v="January"/>
    <n v="1"/>
    <n v="32"/>
    <n v="1"/>
  </r>
  <r>
    <s v="noon_sales_jan_2025.csv"/>
    <x v="1"/>
    <s v="N-88867"/>
    <x v="56"/>
    <x v="5"/>
    <s v="omar.farooq@gmail.com"/>
    <s v="SKU2201"/>
    <n v="2"/>
    <n v="349"/>
    <n v="34.9"/>
    <s v="Completed"/>
    <x v="0"/>
    <x v="1"/>
    <d v="2022-11-18T00:00:00"/>
    <x v="2"/>
    <x v="0"/>
    <s v="Accessories"/>
    <n v="165"/>
    <n v="663.1"/>
    <n v="333.1"/>
    <n v="50.233750565525561"/>
    <s v="January"/>
    <n v="1"/>
    <n v="32"/>
    <n v="1"/>
  </r>
  <r>
    <s v="noon_sales_jan_2025.csv"/>
    <x v="1"/>
    <s v="N-88868"/>
    <x v="57"/>
    <x v="7"/>
    <s v="guest@noon.com"/>
    <s v="SKU1101"/>
    <n v="3"/>
    <n v="199"/>
    <n v="0"/>
    <s v="Completed"/>
    <x v="2"/>
    <x v="3"/>
    <m/>
    <x v="8"/>
    <x v="2"/>
    <s v="Kitchen"/>
    <n v="95"/>
    <n v="597"/>
    <n v="312"/>
    <n v="52.261306532663319"/>
    <s v="January"/>
    <n v="1"/>
    <m/>
    <m/>
  </r>
  <r>
    <s v="noon_sales_jan_2025.csv"/>
    <x v="1"/>
    <s v="N-88869"/>
    <x v="57"/>
    <x v="6"/>
    <s v="sara.yousuf@gmail.com"/>
    <s v="SKU4404"/>
    <n v="1"/>
    <n v="2199"/>
    <n v="220"/>
    <s v="Completed"/>
    <x v="0"/>
    <x v="1"/>
    <d v="2023-04-14T00:00:00"/>
    <x v="13"/>
    <x v="0"/>
    <s v="TVs"/>
    <n v="1380"/>
    <n v="1979"/>
    <n v="599"/>
    <n v="30.267812026275898"/>
    <s v="January"/>
    <n v="1"/>
    <n v="18"/>
    <n v="1"/>
  </r>
  <r>
    <s v="noon_sales_jan_2025.csv"/>
    <x v="1"/>
    <s v="N-88870"/>
    <x v="58"/>
    <x v="13"/>
    <s v="sultan.alremeithi@gmail.com"/>
    <s v="SKU2210"/>
    <n v="2"/>
    <n v="189"/>
    <n v="0"/>
    <s v="Completed"/>
    <x v="0"/>
    <x v="2"/>
    <d v="2023-10-12T00:00:00"/>
    <x v="5"/>
    <x v="0"/>
    <s v="Wearables"/>
    <n v="95"/>
    <n v="378"/>
    <n v="188"/>
    <n v="49.735449735449734"/>
    <s v="January"/>
    <n v="1"/>
    <n v="19"/>
    <n v="1"/>
  </r>
  <r>
    <s v="noon_sales_jan_2025.csv"/>
    <x v="1"/>
    <s v="N-88871"/>
    <x v="58"/>
    <x v="14"/>
    <s v="majid.almansoori@gmail.com"/>
    <s v="SKU3302"/>
    <n v="4"/>
    <n v="45"/>
    <n v="0"/>
    <s v="Completed"/>
    <x v="3"/>
    <x v="2"/>
    <d v="2023-12-03T00:00:00"/>
    <x v="10"/>
    <x v="1"/>
    <s v="Organisation"/>
    <n v="18"/>
    <n v="180"/>
    <n v="108"/>
    <n v="60"/>
    <s v="January"/>
    <n v="1"/>
    <n v="20"/>
    <n v="1"/>
  </r>
  <r>
    <s v="noon_sales_mar_2025.csv"/>
    <x v="1"/>
    <s v="N-88928"/>
    <x v="59"/>
    <x v="13"/>
    <s v="sultan.alremeithi@gmail.com"/>
    <s v="SKU4401"/>
    <n v="1"/>
    <n v="1299"/>
    <n v="130"/>
    <s v="Completed"/>
    <x v="0"/>
    <x v="2"/>
    <d v="2023-10-12T00:00:00"/>
    <x v="0"/>
    <x v="0"/>
    <s v="TVs"/>
    <n v="820"/>
    <n v="1169"/>
    <n v="349"/>
    <n v="29.854576561163388"/>
    <s v="March"/>
    <n v="1"/>
    <n v="19"/>
    <n v="1"/>
  </r>
  <r>
    <s v="noon_sales_mar_2025.csv"/>
    <x v="1"/>
    <s v="N-88929"/>
    <x v="59"/>
    <x v="14"/>
    <s v="majid.almansoori@gmail.com"/>
    <s v="SKU2201"/>
    <n v="2"/>
    <n v="349"/>
    <n v="34.9"/>
    <s v="Completed"/>
    <x v="3"/>
    <x v="2"/>
    <d v="2023-12-03T00:00:00"/>
    <x v="2"/>
    <x v="0"/>
    <s v="Accessories"/>
    <n v="165"/>
    <n v="663.1"/>
    <n v="333.1"/>
    <n v="50.233750565525561"/>
    <s v="March"/>
    <n v="1"/>
    <n v="20"/>
    <n v="1"/>
  </r>
  <r>
    <s v="noon_sales_mar_2025.csv"/>
    <x v="1"/>
    <s v="N-88930"/>
    <x v="60"/>
    <x v="7"/>
    <s v="guest@noon.com"/>
    <s v="SKU3302"/>
    <n v="4"/>
    <n v="45"/>
    <n v="22.5"/>
    <s v="Completed"/>
    <x v="2"/>
    <x v="3"/>
    <m/>
    <x v="10"/>
    <x v="1"/>
    <s v="Organisation"/>
    <n v="18"/>
    <n v="157.5"/>
    <n v="85.5"/>
    <n v="54.285714285714285"/>
    <s v="March"/>
    <n v="1"/>
    <m/>
    <m/>
  </r>
  <r>
    <s v="noon_sales_mar_2025.csv"/>
    <x v="1"/>
    <s v="N-88931"/>
    <x v="60"/>
    <x v="1"/>
    <s v="fatima.hassan@hotmail.com"/>
    <s v="SKU1105"/>
    <n v="1"/>
    <n v="899"/>
    <n v="90"/>
    <s v="Completed"/>
    <x v="1"/>
    <x v="1"/>
    <d v="2022-07-02T00:00:00"/>
    <x v="4"/>
    <x v="2"/>
    <s v="Cleaning"/>
    <n v="520"/>
    <n v="809"/>
    <n v="289"/>
    <n v="35.723114956736715"/>
    <s v="March"/>
    <n v="1"/>
    <n v="32"/>
    <n v="1"/>
  </r>
  <r>
    <s v="noon_sales_mar_2025.csv"/>
    <x v="1"/>
    <s v="N-88932"/>
    <x v="61"/>
    <x v="16"/>
    <s v="maria.george@gmail.com"/>
    <s v="SKU4403"/>
    <n v="1"/>
    <n v="749"/>
    <n v="75"/>
    <s v="Completed"/>
    <x v="2"/>
    <x v="3"/>
    <m/>
    <x v="6"/>
    <x v="0"/>
    <s v="Tablets"/>
    <n v="490"/>
    <n v="674"/>
    <n v="184"/>
    <n v="27.299703264094955"/>
    <s v="March"/>
    <n v="1"/>
    <n v="7"/>
    <n v="1"/>
  </r>
  <r>
    <s v="noon_sales_mar_2025.csv"/>
    <x v="1"/>
    <s v="N-88933"/>
    <x v="61"/>
    <x v="0"/>
    <s v="ahmed.almarzouqi@gmail.com"/>
    <s v="SKU2205"/>
    <n v="1"/>
    <n v="529"/>
    <n v="52.9"/>
    <s v="Completed"/>
    <x v="0"/>
    <x v="0"/>
    <d v="2022-03-15T00:00:00"/>
    <x v="9"/>
    <x v="0"/>
    <s v="Audio"/>
    <n v="260"/>
    <n v="476.1"/>
    <n v="216.10000000000002"/>
    <n v="45.389624028565429"/>
    <s v="March"/>
    <n v="1"/>
    <n v="52"/>
    <n v="1"/>
  </r>
  <r>
    <s v="noon_sales_mar_2025.csv"/>
    <x v="1"/>
    <s v="N-88934"/>
    <x v="62"/>
    <x v="7"/>
    <s v="guest@noon.com"/>
    <s v="SKU3305"/>
    <n v="3"/>
    <n v="29"/>
    <n v="0"/>
    <s v="Completed"/>
    <x v="2"/>
    <x v="3"/>
    <m/>
    <x v="11"/>
    <x v="1"/>
    <s v="Cleaning"/>
    <n v="11"/>
    <n v="87"/>
    <n v="54"/>
    <n v="62.068965517241381"/>
    <s v="March"/>
    <n v="1"/>
    <m/>
    <m/>
  </r>
  <r>
    <s v="noon_sales_mar_2025.csv"/>
    <x v="1"/>
    <s v="N-88935"/>
    <x v="62"/>
    <x v="9"/>
    <s v="hamdan.sultan@gmail.com"/>
    <s v="SKU1101"/>
    <n v="2"/>
    <n v="199"/>
    <n v="20"/>
    <s v="Completed"/>
    <x v="4"/>
    <x v="1"/>
    <d v="2023-08-30T00:00:00"/>
    <x v="8"/>
    <x v="2"/>
    <s v="Kitchen"/>
    <n v="95"/>
    <n v="378"/>
    <n v="188"/>
    <n v="49.735449735449734"/>
    <s v="March"/>
    <n v="1"/>
    <n v="46"/>
    <n v="1"/>
  </r>
  <r>
    <s v="noon_sales_mar_2025.csv"/>
    <x v="1"/>
    <s v="N-88936"/>
    <x v="63"/>
    <x v="13"/>
    <s v="sultan.alremeithi@gmail.com"/>
    <s v="SKU4404"/>
    <n v="1"/>
    <n v="2199"/>
    <n v="220"/>
    <s v="Completed"/>
    <x v="0"/>
    <x v="2"/>
    <d v="2023-10-12T00:00:00"/>
    <x v="13"/>
    <x v="0"/>
    <s v="TVs"/>
    <n v="1380"/>
    <n v="1979"/>
    <n v="599"/>
    <n v="30.267812026275898"/>
    <s v="March"/>
    <n v="1"/>
    <n v="19"/>
    <n v="1"/>
  </r>
  <r>
    <s v="noon_sales_mar_2025.csv"/>
    <x v="1"/>
    <s v="N-88937"/>
    <x v="63"/>
    <x v="16"/>
    <s v="maria.george@gmail.com"/>
    <s v="SKU2209"/>
    <n v="1"/>
    <n v="229"/>
    <n v="22.9"/>
    <s v="Completed"/>
    <x v="2"/>
    <x v="3"/>
    <m/>
    <x v="14"/>
    <x v="0"/>
    <s v="Wearables"/>
    <n v="110"/>
    <n v="206.1"/>
    <n v="96.1"/>
    <n v="46.62785055798156"/>
    <s v="March"/>
    <n v="1"/>
    <n v="7"/>
    <n v="1"/>
  </r>
  <r>
    <s v="noon_sales_mar_2025.csv"/>
    <x v="1"/>
    <s v="N-88938"/>
    <x v="64"/>
    <x v="14"/>
    <s v="majid.almansoori@gmail.com"/>
    <s v="SKU1103"/>
    <n v="2"/>
    <n v="459"/>
    <n v="46"/>
    <s v="Completed"/>
    <x v="3"/>
    <x v="2"/>
    <d v="2023-12-03T00:00:00"/>
    <x v="7"/>
    <x v="2"/>
    <s v="Kitchen"/>
    <n v="210"/>
    <n v="872"/>
    <n v="452"/>
    <n v="51.834862385321102"/>
    <s v="March"/>
    <n v="1"/>
    <n v="20"/>
    <n v="1"/>
  </r>
  <r>
    <s v="noon_sales_mar_2025.csv"/>
    <x v="1"/>
    <s v="N-88939"/>
    <x v="64"/>
    <x v="7"/>
    <s v="guest@noon.com"/>
    <s v="SKU3301"/>
    <n v="5"/>
    <n v="19"/>
    <n v="0"/>
    <s v="Completed"/>
    <x v="2"/>
    <x v="3"/>
    <m/>
    <x v="1"/>
    <x v="1"/>
    <s v="Cleaning"/>
    <n v="8"/>
    <n v="95"/>
    <n v="55"/>
    <n v="57.894736842105267"/>
    <s v="March"/>
    <n v="1"/>
    <m/>
    <m/>
  </r>
  <r>
    <s v="noon_sales_mar_2025.csv"/>
    <x v="1"/>
    <s v="N-88940"/>
    <x v="65"/>
    <x v="1"/>
    <s v="fatima.hassan@hotmail.com"/>
    <s v="SKU4402"/>
    <n v="1"/>
    <n v="599"/>
    <n v="60"/>
    <s v="Completed"/>
    <x v="1"/>
    <x v="1"/>
    <d v="2022-07-02T00:00:00"/>
    <x v="12"/>
    <x v="0"/>
    <s v="Audio"/>
    <n v="350"/>
    <n v="539"/>
    <n v="189"/>
    <n v="35.064935064935064"/>
    <s v="March"/>
    <n v="1"/>
    <n v="32"/>
    <n v="1"/>
  </r>
  <r>
    <s v="noon_sales_mar_2025.csv"/>
    <x v="1"/>
    <s v="N-88941"/>
    <x v="65"/>
    <x v="3"/>
    <s v="khalid.alblooshi@gmail.com"/>
    <s v="SKU2210"/>
    <n v="1"/>
    <n v="189"/>
    <n v="19"/>
    <s v="Completed"/>
    <x v="0"/>
    <x v="0"/>
    <d v="2023-01-22T00:00:00"/>
    <x v="5"/>
    <x v="0"/>
    <s v="Wearables"/>
    <n v="95"/>
    <n v="170"/>
    <n v="75"/>
    <n v="44.117647058823529"/>
    <s v="March"/>
    <n v="1"/>
    <n v="32"/>
    <n v="1"/>
  </r>
  <r>
    <s v="noon_sales_mar_2025.csv"/>
    <x v="1"/>
    <s v="N-88942"/>
    <x v="66"/>
    <x v="7"/>
    <s v="guest@noon.com"/>
    <s v="SKU1106"/>
    <n v="1"/>
    <n v="1099"/>
    <n v="110"/>
    <s v="Completed"/>
    <x v="2"/>
    <x v="3"/>
    <m/>
    <x v="3"/>
    <x v="2"/>
    <s v="Cleaning"/>
    <n v="650"/>
    <n v="989"/>
    <n v="339"/>
    <n v="34.277047522750252"/>
    <s v="March"/>
    <n v="1"/>
    <m/>
    <m/>
  </r>
  <r>
    <s v="noon_sales_mar_2025.csv"/>
    <x v="1"/>
    <s v="N-88943"/>
    <x v="66"/>
    <x v="16"/>
    <s v="maria.george@gmail.com"/>
    <s v="SKU3308"/>
    <n v="2"/>
    <n v="89"/>
    <n v="0"/>
    <s v="Completed"/>
    <x v="2"/>
    <x v="3"/>
    <m/>
    <x v="15"/>
    <x v="1"/>
    <s v="Fragrance"/>
    <n v="42"/>
    <n v="178"/>
    <n v="94"/>
    <n v="52.80898876404494"/>
    <s v="March"/>
    <n v="1"/>
    <n v="7"/>
    <n v="1"/>
  </r>
  <r>
    <s v="noon_sales_mar_2025.csv"/>
    <x v="1"/>
    <s v="N-88944"/>
    <x v="67"/>
    <x v="13"/>
    <s v="sultan.alremeithi@gmail.com"/>
    <s v="SKU4401"/>
    <n v="1"/>
    <n v="1299"/>
    <n v="0"/>
    <s v="Completed"/>
    <x v="0"/>
    <x v="2"/>
    <d v="2023-10-12T00:00:00"/>
    <x v="0"/>
    <x v="0"/>
    <s v="TVs"/>
    <n v="820"/>
    <n v="1299"/>
    <n v="479"/>
    <n v="36.87451886066205"/>
    <s v="March"/>
    <n v="1"/>
    <n v="19"/>
    <n v="1"/>
  </r>
  <r>
    <s v="noon_sales_mar_2025.csv"/>
    <x v="1"/>
    <s v="N-88945"/>
    <x v="67"/>
    <x v="0"/>
    <s v="ahmed.almarzouqi@gmail.com"/>
    <s v="SKU2201"/>
    <n v="1"/>
    <n v="349"/>
    <n v="34.9"/>
    <s v="Completed"/>
    <x v="0"/>
    <x v="0"/>
    <d v="2022-03-15T00:00:00"/>
    <x v="2"/>
    <x v="0"/>
    <s v="Accessories"/>
    <n v="165"/>
    <n v="314.10000000000002"/>
    <n v="149.10000000000002"/>
    <n v="47.468958930276983"/>
    <s v="March"/>
    <n v="1"/>
    <n v="52"/>
    <n v="1"/>
  </r>
  <r>
    <s v="noon_sales_mar_2025.csv"/>
    <x v="1"/>
    <s v="N-88946"/>
    <x v="68"/>
    <x v="7"/>
    <s v="guest@noon.com"/>
    <s v="SKU3302"/>
    <n v="3"/>
    <n v="45"/>
    <n v="0"/>
    <s v="Completed"/>
    <x v="2"/>
    <x v="3"/>
    <m/>
    <x v="10"/>
    <x v="1"/>
    <s v="Organisation"/>
    <n v="18"/>
    <n v="135"/>
    <n v="81"/>
    <n v="60"/>
    <s v="March"/>
    <n v="1"/>
    <m/>
    <m/>
  </r>
  <r>
    <s v="noon_sales_mar_2025.csv"/>
    <x v="1"/>
    <s v="N-88947"/>
    <x v="68"/>
    <x v="14"/>
    <s v="majid.almansoori@gmail.com"/>
    <s v="SKU1105"/>
    <n v="2"/>
    <n v="899"/>
    <n v="90"/>
    <s v="Completed"/>
    <x v="3"/>
    <x v="2"/>
    <d v="2023-12-03T00:00:00"/>
    <x v="4"/>
    <x v="2"/>
    <s v="Cleaning"/>
    <n v="520"/>
    <n v="1708"/>
    <n v="668"/>
    <n v="39.110070257611241"/>
    <s v="March"/>
    <n v="1"/>
    <n v="20"/>
    <n v="1"/>
  </r>
  <r>
    <s v="noon_sales_mar_2025.csv"/>
    <x v="1"/>
    <s v="N-88948"/>
    <x v="69"/>
    <x v="9"/>
    <s v="hamdan.sultan@gmail.com"/>
    <s v="SKU4403"/>
    <n v="1"/>
    <n v="749"/>
    <n v="75"/>
    <s v="Completed"/>
    <x v="4"/>
    <x v="1"/>
    <d v="2023-08-30T00:00:00"/>
    <x v="6"/>
    <x v="0"/>
    <s v="Tablets"/>
    <n v="490"/>
    <n v="674"/>
    <n v="184"/>
    <n v="27.299703264094955"/>
    <s v="March"/>
    <n v="1"/>
    <n v="46"/>
    <n v="1"/>
  </r>
  <r>
    <s v="noon_sales_mar_2025.csv"/>
    <x v="1"/>
    <s v="N-88949"/>
    <x v="69"/>
    <x v="16"/>
    <s v="maria.george@gmail.com"/>
    <s v="SKU2205"/>
    <n v="1"/>
    <n v="529"/>
    <n v="52.9"/>
    <s v="Completed"/>
    <x v="2"/>
    <x v="3"/>
    <m/>
    <x v="9"/>
    <x v="0"/>
    <s v="Audio"/>
    <n v="260"/>
    <n v="476.1"/>
    <n v="216.10000000000002"/>
    <n v="45.389624028565429"/>
    <s v="March"/>
    <n v="1"/>
    <n v="7"/>
    <n v="1"/>
  </r>
  <r>
    <s v="noon_sales_mar_2025.csv"/>
    <x v="1"/>
    <s v="N-88950"/>
    <x v="70"/>
    <x v="1"/>
    <s v="fatima.hassan@hotmail.com"/>
    <s v="SKU1101"/>
    <n v="3"/>
    <n v="199"/>
    <n v="30"/>
    <s v="Completed"/>
    <x v="1"/>
    <x v="1"/>
    <d v="2022-07-02T00:00:00"/>
    <x v="8"/>
    <x v="2"/>
    <s v="Kitchen"/>
    <n v="95"/>
    <n v="567"/>
    <n v="282"/>
    <n v="49.735449735449734"/>
    <s v="March"/>
    <n v="1"/>
    <n v="32"/>
    <n v="1"/>
  </r>
  <r>
    <s v="noon_sales_mar_2025.csv"/>
    <x v="1"/>
    <s v="N-88951"/>
    <x v="70"/>
    <x v="7"/>
    <s v="guest@noon.com"/>
    <s v="SKU3305"/>
    <n v="2"/>
    <n v="29"/>
    <n v="0"/>
    <s v="Completed"/>
    <x v="2"/>
    <x v="3"/>
    <m/>
    <x v="11"/>
    <x v="1"/>
    <s v="Cleaning"/>
    <n v="11"/>
    <n v="58"/>
    <n v="36"/>
    <n v="62.068965517241381"/>
    <s v="March"/>
    <n v="1"/>
    <m/>
    <m/>
  </r>
  <r>
    <s v="noon_sales_mar_2025.csv"/>
    <x v="1"/>
    <s v="N-88952"/>
    <x v="71"/>
    <x v="13"/>
    <s v="sultan.alremeithi@gmail.com"/>
    <s v="SKU4402"/>
    <n v="1"/>
    <n v="599"/>
    <n v="59.9"/>
    <s v="Completed"/>
    <x v="0"/>
    <x v="2"/>
    <d v="2023-10-12T00:00:00"/>
    <x v="12"/>
    <x v="0"/>
    <s v="Audio"/>
    <n v="350"/>
    <n v="539.1"/>
    <n v="189.10000000000002"/>
    <n v="35.076980152105364"/>
    <s v="March"/>
    <n v="1"/>
    <n v="19"/>
    <n v="1"/>
  </r>
  <r>
    <s v="noon_sales_mar_2025.csv"/>
    <x v="1"/>
    <s v="N-88953"/>
    <x v="71"/>
    <x v="0"/>
    <s v="ahmed.almarzouqi@gmail.com"/>
    <s v="SKU2209"/>
    <n v="2"/>
    <n v="229"/>
    <n v="0"/>
    <s v="Completed"/>
    <x v="0"/>
    <x v="0"/>
    <d v="2022-03-15T00:00:00"/>
    <x v="14"/>
    <x v="0"/>
    <s v="Wearables"/>
    <n v="110"/>
    <n v="458"/>
    <n v="238"/>
    <n v="51.965065502183407"/>
    <s v="March"/>
    <n v="1"/>
    <n v="52"/>
    <n v="1"/>
  </r>
  <r>
    <s v="noon_sales_mar_2025.csv"/>
    <x v="1"/>
    <s v="N-88954"/>
    <x v="72"/>
    <x v="7"/>
    <s v="guest@noon.com"/>
    <s v="SKU1103"/>
    <n v="1"/>
    <n v="459"/>
    <n v="46"/>
    <s v="Completed"/>
    <x v="2"/>
    <x v="3"/>
    <m/>
    <x v="7"/>
    <x v="2"/>
    <s v="Kitchen"/>
    <n v="210"/>
    <n v="413"/>
    <n v="203"/>
    <n v="49.152542372881356"/>
    <s v="March"/>
    <n v="1"/>
    <m/>
    <m/>
  </r>
  <r>
    <s v="noon_sales_mar_2025.csv"/>
    <x v="1"/>
    <s v="N-88955"/>
    <x v="72"/>
    <x v="14"/>
    <s v="majid.almansoori@gmail.com"/>
    <s v="SKU3301"/>
    <n v="4"/>
    <n v="19"/>
    <n v="0"/>
    <s v="Completed"/>
    <x v="3"/>
    <x v="2"/>
    <d v="2023-12-03T00:00:00"/>
    <x v="1"/>
    <x v="1"/>
    <s v="Cleaning"/>
    <n v="8"/>
    <n v="76"/>
    <n v="44"/>
    <n v="57.894736842105267"/>
    <s v="March"/>
    <n v="1"/>
    <n v="20"/>
    <n v="1"/>
  </r>
  <r>
    <s v="noon_sales_mar_2025.csv"/>
    <x v="1"/>
    <s v="N-88957"/>
    <x v="73"/>
    <x v="3"/>
    <s v="khalid.alblooshi@gmail.com"/>
    <s v="SKU2210"/>
    <n v="2"/>
    <n v="189"/>
    <n v="19"/>
    <s v="Completed"/>
    <x v="0"/>
    <x v="0"/>
    <d v="2023-01-22T00:00:00"/>
    <x v="5"/>
    <x v="0"/>
    <s v="Wearables"/>
    <n v="95"/>
    <n v="359"/>
    <n v="169"/>
    <n v="47.075208913649021"/>
    <s v="March"/>
    <n v="1"/>
    <n v="32"/>
    <n v="1"/>
  </r>
  <r>
    <s v="noon_sales_mar_2025.csv"/>
    <x v="1"/>
    <s v="N-88958"/>
    <x v="74"/>
    <x v="7"/>
    <s v="guest@noon.com"/>
    <s v="SKU1106"/>
    <n v="1"/>
    <n v="1099"/>
    <n v="110"/>
    <s v="Completed"/>
    <x v="2"/>
    <x v="3"/>
    <m/>
    <x v="3"/>
    <x v="2"/>
    <s v="Cleaning"/>
    <n v="650"/>
    <n v="989"/>
    <n v="339"/>
    <n v="34.277047522750252"/>
    <s v="March"/>
    <n v="1"/>
    <m/>
    <m/>
  </r>
  <r>
    <s v="noon_sales_mar_2025.csv"/>
    <x v="1"/>
    <s v="N-88959"/>
    <x v="74"/>
    <x v="9"/>
    <s v="hamdan.sultan@gmail.com"/>
    <s v="SKU3308"/>
    <n v="1"/>
    <n v="89"/>
    <n v="0"/>
    <s v="Completed"/>
    <x v="4"/>
    <x v="1"/>
    <d v="2023-08-30T00:00:00"/>
    <x v="15"/>
    <x v="1"/>
    <s v="Fragrance"/>
    <n v="42"/>
    <n v="89"/>
    <n v="47"/>
    <n v="52.80898876404494"/>
    <s v="March"/>
    <n v="1"/>
    <n v="46"/>
    <n v="1"/>
  </r>
  <r>
    <s v="noon_sales_mar_2025.csv"/>
    <x v="1"/>
    <s v="N-88960"/>
    <x v="75"/>
    <x v="1"/>
    <s v="fatima.hassan@hotmail.com"/>
    <s v="SKU4401"/>
    <n v="1"/>
    <n v="1299"/>
    <n v="130"/>
    <s v="Completed"/>
    <x v="1"/>
    <x v="1"/>
    <d v="2022-07-02T00:00:00"/>
    <x v="0"/>
    <x v="0"/>
    <s v="TVs"/>
    <n v="820"/>
    <n v="1169"/>
    <n v="349"/>
    <n v="29.854576561163388"/>
    <s v="March"/>
    <n v="1"/>
    <n v="32"/>
    <n v="1"/>
  </r>
  <r>
    <s v="noon_sales_mar_2025.csv"/>
    <x v="1"/>
    <s v="N-88961"/>
    <x v="75"/>
    <x v="13"/>
    <s v="sultan.alremeithi@gmail.com"/>
    <s v="SKU2201"/>
    <n v="2"/>
    <n v="349"/>
    <n v="34.9"/>
    <s v="Completed"/>
    <x v="0"/>
    <x v="2"/>
    <d v="2023-10-12T00:00:00"/>
    <x v="2"/>
    <x v="0"/>
    <s v="Accessories"/>
    <n v="165"/>
    <n v="663.1"/>
    <n v="333.1"/>
    <n v="50.233750565525561"/>
    <s v="March"/>
    <n v="1"/>
    <n v="19"/>
    <n v="1"/>
  </r>
  <r>
    <s v="noon_sales_mar_2025.csv"/>
    <x v="1"/>
    <s v="N-88962"/>
    <x v="76"/>
    <x v="7"/>
    <s v="guest@noon.com"/>
    <s v="SKU3302"/>
    <n v="3"/>
    <n v="45"/>
    <n v="0"/>
    <s v="Completed"/>
    <x v="2"/>
    <x v="3"/>
    <m/>
    <x v="10"/>
    <x v="1"/>
    <s v="Organisation"/>
    <n v="18"/>
    <n v="135"/>
    <n v="81"/>
    <n v="60"/>
    <s v="March"/>
    <n v="1"/>
    <m/>
    <m/>
  </r>
  <r>
    <s v="noon_sales_mar_2025.csv"/>
    <x v="1"/>
    <s v="N-88963"/>
    <x v="76"/>
    <x v="0"/>
    <s v="ahmed.almarzouqi@gmail.com"/>
    <s v="SKU1105"/>
    <n v="1"/>
    <n v="899"/>
    <n v="89.9"/>
    <s v="Completed"/>
    <x v="0"/>
    <x v="0"/>
    <d v="2022-03-15T00:00:00"/>
    <x v="4"/>
    <x v="2"/>
    <s v="Cleaning"/>
    <n v="520"/>
    <n v="809.1"/>
    <n v="289.10000000000002"/>
    <n v="35.731059201582006"/>
    <s v="March"/>
    <n v="1"/>
    <n v="52"/>
    <n v="1"/>
  </r>
  <r>
    <s v="noon_sales_mar_2025.csv"/>
    <x v="1"/>
    <s v="N-88964"/>
    <x v="77"/>
    <x v="14"/>
    <s v="majid.almansoori@gmail.com"/>
    <s v="SKU4403"/>
    <n v="2"/>
    <n v="749"/>
    <n v="75"/>
    <s v="Completed"/>
    <x v="3"/>
    <x v="2"/>
    <d v="2023-12-03T00:00:00"/>
    <x v="6"/>
    <x v="0"/>
    <s v="Tablets"/>
    <n v="490"/>
    <n v="1423"/>
    <n v="443"/>
    <n v="31.131412508784255"/>
    <s v="March"/>
    <n v="1"/>
    <n v="20"/>
    <n v="1"/>
  </r>
  <r>
    <s v="noon_sales_mar_2025.csv"/>
    <x v="1"/>
    <s v="N-88965"/>
    <x v="77"/>
    <x v="16"/>
    <s v="maria.george@gmail.com"/>
    <s v="SKU2205"/>
    <n v="1"/>
    <n v="529"/>
    <n v="52.9"/>
    <s v="Completed"/>
    <x v="2"/>
    <x v="3"/>
    <m/>
    <x v="9"/>
    <x v="0"/>
    <s v="Audio"/>
    <n v="260"/>
    <n v="476.1"/>
    <n v="216.10000000000002"/>
    <n v="45.389624028565429"/>
    <s v="March"/>
    <n v="1"/>
    <n v="7"/>
    <n v="1"/>
  </r>
  <r>
    <s v="noon_sales_mar_2025.csv"/>
    <x v="1"/>
    <s v="N-88966"/>
    <x v="78"/>
    <x v="7"/>
    <s v="guest@noon.com"/>
    <s v="SKU3305"/>
    <n v="4"/>
    <n v="29"/>
    <n v="0"/>
    <s v="Completed"/>
    <x v="2"/>
    <x v="3"/>
    <m/>
    <x v="11"/>
    <x v="1"/>
    <s v="Cleaning"/>
    <n v="11"/>
    <n v="116"/>
    <n v="72"/>
    <n v="62.068965517241381"/>
    <s v="March"/>
    <n v="1"/>
    <m/>
    <m/>
  </r>
  <r>
    <s v="noon_sales_mar_2025.csv"/>
    <x v="1"/>
    <s v="N-88967"/>
    <x v="78"/>
    <x v="3"/>
    <s v="khalid.alblooshi@gmail.com"/>
    <s v="SKU1101"/>
    <n v="2"/>
    <n v="199"/>
    <n v="20"/>
    <s v="Completed"/>
    <x v="0"/>
    <x v="0"/>
    <d v="2023-01-22T00:00:00"/>
    <x v="8"/>
    <x v="2"/>
    <s v="Kitchen"/>
    <n v="95"/>
    <n v="378"/>
    <n v="188"/>
    <n v="49.735449735449734"/>
    <s v="March"/>
    <n v="1"/>
    <n v="32"/>
    <n v="1"/>
  </r>
  <r>
    <s v="noon_sales_mar_2025.csv"/>
    <x v="1"/>
    <s v="N-88968"/>
    <x v="79"/>
    <x v="9"/>
    <s v="hamdan.sultan@gmail.com"/>
    <s v="SKU4402"/>
    <n v="1"/>
    <n v="599"/>
    <n v="0"/>
    <s v="Completed"/>
    <x v="4"/>
    <x v="1"/>
    <d v="2023-08-30T00:00:00"/>
    <x v="12"/>
    <x v="0"/>
    <s v="Audio"/>
    <n v="350"/>
    <n v="599"/>
    <n v="249"/>
    <n v="41.569282136894827"/>
    <s v="March"/>
    <n v="1"/>
    <n v="46"/>
    <n v="1"/>
  </r>
  <r>
    <s v="noon_sales_mar_2025.csv"/>
    <x v="1"/>
    <s v="N-88969"/>
    <x v="79"/>
    <x v="1"/>
    <s v="fatima.hassan@hotmail.com"/>
    <s v="SKU2209"/>
    <n v="1"/>
    <n v="229"/>
    <n v="22.9"/>
    <s v="Completed"/>
    <x v="1"/>
    <x v="1"/>
    <d v="2022-07-02T00:00:00"/>
    <x v="14"/>
    <x v="0"/>
    <s v="Wearables"/>
    <n v="110"/>
    <n v="206.1"/>
    <n v="96.1"/>
    <n v="46.62785055798156"/>
    <s v="March"/>
    <n v="1"/>
    <n v="32"/>
    <n v="1"/>
  </r>
  <r>
    <s v="noon_sales_mar_2025.csv"/>
    <x v="1"/>
    <s v="N-88970"/>
    <x v="80"/>
    <x v="7"/>
    <s v="guest@noon.com"/>
    <s v="SKU1103"/>
    <n v="1"/>
    <n v="459"/>
    <n v="0"/>
    <s v="Completed"/>
    <x v="2"/>
    <x v="3"/>
    <m/>
    <x v="7"/>
    <x v="2"/>
    <s v="Kitchen"/>
    <n v="210"/>
    <n v="459"/>
    <n v="249"/>
    <n v="54.248366013071895"/>
    <s v="March"/>
    <n v="1"/>
    <m/>
    <m/>
  </r>
  <r>
    <s v="noon_sales_mar_2025.csv"/>
    <x v="1"/>
    <s v="N-88971"/>
    <x v="80"/>
    <x v="13"/>
    <s v="sultan.alremeithi@gmail.com"/>
    <s v="SKU3301"/>
    <n v="3"/>
    <n v="19"/>
    <n v="0"/>
    <s v="Completed"/>
    <x v="0"/>
    <x v="2"/>
    <d v="2023-10-12T00:00:00"/>
    <x v="1"/>
    <x v="1"/>
    <s v="Cleaning"/>
    <n v="8"/>
    <n v="57"/>
    <n v="33"/>
    <n v="57.894736842105267"/>
    <s v="March"/>
    <n v="1"/>
    <n v="19"/>
    <n v="1"/>
  </r>
  <r>
    <s v="noon_sales_mar_2025.csv"/>
    <x v="1"/>
    <s v="N-88972"/>
    <x v="81"/>
    <x v="0"/>
    <s v="ahmed.almarzouqi@gmail.com"/>
    <s v="SKU4404"/>
    <n v="1"/>
    <n v="2199"/>
    <n v="220"/>
    <s v="Completed"/>
    <x v="0"/>
    <x v="0"/>
    <d v="2022-03-15T00:00:00"/>
    <x v="13"/>
    <x v="0"/>
    <s v="TVs"/>
    <n v="1380"/>
    <n v="1979"/>
    <n v="599"/>
    <n v="30.267812026275898"/>
    <s v="March"/>
    <n v="1"/>
    <n v="52"/>
    <n v="1"/>
  </r>
  <r>
    <s v="noon_sales_mar_2025.csv"/>
    <x v="1"/>
    <s v="N-88973"/>
    <x v="81"/>
    <x v="14"/>
    <s v="majid.almansoori@gmail.com"/>
    <s v="SKU2210"/>
    <n v="1"/>
    <n v="189"/>
    <n v="19"/>
    <s v="Completed"/>
    <x v="3"/>
    <x v="2"/>
    <d v="2023-12-03T00:00:00"/>
    <x v="5"/>
    <x v="0"/>
    <s v="Wearables"/>
    <n v="95"/>
    <n v="170"/>
    <n v="75"/>
    <n v="44.117647058823529"/>
    <s v="March"/>
    <n v="1"/>
    <n v="20"/>
    <n v="1"/>
  </r>
  <r>
    <s v="noon_sales_mar_2025.csv"/>
    <x v="1"/>
    <s v="N-88974"/>
    <x v="82"/>
    <x v="7"/>
    <s v="guest@noon.com"/>
    <s v="SKU3308"/>
    <n v="2"/>
    <n v="89"/>
    <n v="8.9"/>
    <s v="Completed"/>
    <x v="2"/>
    <x v="3"/>
    <m/>
    <x v="15"/>
    <x v="1"/>
    <s v="Fragrance"/>
    <n v="42"/>
    <n v="169.1"/>
    <n v="85.1"/>
    <n v="50.325251330573629"/>
    <s v="March"/>
    <n v="1"/>
    <m/>
    <m/>
  </r>
  <r>
    <s v="noon_sales_mar_2025.csv"/>
    <x v="1"/>
    <s v="N-88975"/>
    <x v="82"/>
    <x v="16"/>
    <s v="maria.george@gmail.com"/>
    <s v="SKU1106"/>
    <n v="1"/>
    <n v="1099"/>
    <n v="110"/>
    <s v="Completed"/>
    <x v="2"/>
    <x v="3"/>
    <m/>
    <x v="3"/>
    <x v="2"/>
    <s v="Cleaning"/>
    <n v="650"/>
    <n v="989"/>
    <n v="339"/>
    <n v="34.277047522750252"/>
    <s v="March"/>
    <n v="1"/>
    <n v="7"/>
    <n v="1"/>
  </r>
  <r>
    <s v="noon_sales_mar_2025.csv"/>
    <x v="1"/>
    <s v="N-88976"/>
    <x v="83"/>
    <x v="3"/>
    <s v="khalid.alblooshi@gmail.com"/>
    <s v="SKU4401"/>
    <n v="1"/>
    <n v="1299"/>
    <n v="130"/>
    <s v="Completed"/>
    <x v="0"/>
    <x v="0"/>
    <d v="2023-01-22T00:00:00"/>
    <x v="0"/>
    <x v="0"/>
    <s v="TVs"/>
    <n v="820"/>
    <n v="1169"/>
    <n v="349"/>
    <n v="29.854576561163388"/>
    <s v="March"/>
    <n v="1"/>
    <n v="32"/>
    <n v="1"/>
  </r>
  <r>
    <s v="noon_sales_mar_2025.csv"/>
    <x v="1"/>
    <s v="N-88977"/>
    <x v="83"/>
    <x v="9"/>
    <s v="hamdan.sultan@gmail.com"/>
    <s v="SKU2201"/>
    <n v="2"/>
    <n v="349"/>
    <n v="0"/>
    <s v="Completed"/>
    <x v="4"/>
    <x v="1"/>
    <d v="2023-08-30T00:00:00"/>
    <x v="2"/>
    <x v="0"/>
    <s v="Accessories"/>
    <n v="165"/>
    <n v="698"/>
    <n v="368"/>
    <n v="52.722063037249278"/>
    <s v="March"/>
    <n v="1"/>
    <n v="46"/>
    <n v="1"/>
  </r>
  <r>
    <s v="noon_sales_mar_2025.csv"/>
    <x v="1"/>
    <s v="N-88978"/>
    <x v="84"/>
    <x v="7"/>
    <s v="guest@noon.com"/>
    <s v="SKU3302"/>
    <n v="2"/>
    <n v="45"/>
    <n v="0"/>
    <s v="Completed"/>
    <x v="2"/>
    <x v="3"/>
    <m/>
    <x v="10"/>
    <x v="1"/>
    <s v="Organisation"/>
    <n v="18"/>
    <n v="90"/>
    <n v="54"/>
    <n v="60"/>
    <s v="March"/>
    <n v="1"/>
    <m/>
    <m/>
  </r>
  <r>
    <s v="noon_sales_mar_2025.csv"/>
    <x v="1"/>
    <s v="N-88979"/>
    <x v="84"/>
    <x v="1"/>
    <s v="fatima.hassan@hotmail.com"/>
    <s v="SKU1105"/>
    <n v="1"/>
    <n v="899"/>
    <n v="0"/>
    <s v="Completed"/>
    <x v="1"/>
    <x v="1"/>
    <d v="2022-07-02T00:00:00"/>
    <x v="4"/>
    <x v="2"/>
    <s v="Cleaning"/>
    <n v="520"/>
    <n v="899"/>
    <n v="379"/>
    <n v="42.157953281423808"/>
    <s v="March"/>
    <n v="1"/>
    <n v="32"/>
    <n v="1"/>
  </r>
  <r>
    <s v="noon_sales_mar_2025.csv"/>
    <x v="1"/>
    <s v="N-88980"/>
    <x v="85"/>
    <x v="13"/>
    <s v="sultan.alremeithi@gmail.com"/>
    <s v="SKU4403"/>
    <n v="1"/>
    <n v="749"/>
    <n v="74.900000000000006"/>
    <s v="Completed"/>
    <x v="0"/>
    <x v="2"/>
    <d v="2023-10-12T00:00:00"/>
    <x v="6"/>
    <x v="0"/>
    <s v="Tablets"/>
    <n v="490"/>
    <n v="674.1"/>
    <n v="184.10000000000002"/>
    <n v="27.310488058151609"/>
    <s v="March"/>
    <n v="1"/>
    <n v="19"/>
    <n v="1"/>
  </r>
  <r>
    <s v="noon_sales_mar_2025.csv"/>
    <x v="1"/>
    <s v="N-88981"/>
    <x v="85"/>
    <x v="0"/>
    <s v="ahmed.almarzouqi@gmail.com"/>
    <s v="SKU2205"/>
    <n v="2"/>
    <n v="529"/>
    <n v="53"/>
    <s v="Completed"/>
    <x v="0"/>
    <x v="0"/>
    <d v="2022-03-15T00:00:00"/>
    <x v="9"/>
    <x v="0"/>
    <s v="Audio"/>
    <n v="260"/>
    <n v="1005"/>
    <n v="485"/>
    <n v="48.258706467661696"/>
    <s v="March"/>
    <n v="1"/>
    <n v="52"/>
    <n v="1"/>
  </r>
  <r>
    <s v="noon_sales_mar_2025.csv"/>
    <x v="1"/>
    <s v="N-88982"/>
    <x v="86"/>
    <x v="7"/>
    <s v="guest@noon.com"/>
    <s v="SKU3305"/>
    <n v="3"/>
    <n v="29"/>
    <n v="0"/>
    <s v="Completed"/>
    <x v="2"/>
    <x v="3"/>
    <m/>
    <x v="11"/>
    <x v="1"/>
    <s v="Cleaning"/>
    <n v="11"/>
    <n v="87"/>
    <n v="54"/>
    <n v="62.068965517241381"/>
    <s v="March"/>
    <n v="1"/>
    <m/>
    <m/>
  </r>
  <r>
    <s v="noon_sales_mar_2025.csv"/>
    <x v="1"/>
    <s v="N-88983"/>
    <x v="86"/>
    <x v="14"/>
    <s v="majid.almansoori@gmail.com"/>
    <s v="SKU1101"/>
    <n v="2"/>
    <n v="199"/>
    <n v="20"/>
    <s v="Completed"/>
    <x v="3"/>
    <x v="2"/>
    <d v="2023-12-03T00:00:00"/>
    <x v="8"/>
    <x v="2"/>
    <s v="Kitchen"/>
    <n v="95"/>
    <n v="378"/>
    <n v="188"/>
    <n v="49.735449735449734"/>
    <s v="March"/>
    <n v="1"/>
    <n v="20"/>
    <n v="1"/>
  </r>
  <r>
    <s v="noon_sales_mar_2025.csv"/>
    <x v="1"/>
    <s v="N-88984"/>
    <x v="87"/>
    <x v="16"/>
    <s v="maria.george@gmail.com"/>
    <s v="SKU4402"/>
    <n v="1"/>
    <n v="599"/>
    <n v="59.9"/>
    <s v="Completed"/>
    <x v="2"/>
    <x v="3"/>
    <m/>
    <x v="12"/>
    <x v="0"/>
    <s v="Audio"/>
    <n v="350"/>
    <n v="539.1"/>
    <n v="189.10000000000002"/>
    <n v="35.076980152105364"/>
    <s v="March"/>
    <n v="1"/>
    <n v="7"/>
    <n v="1"/>
  </r>
  <r>
    <s v="noon_sales_mar_2025.csv"/>
    <x v="1"/>
    <s v="N-88985"/>
    <x v="87"/>
    <x v="3"/>
    <s v="khalid.alblooshi@gmail.com"/>
    <s v="SKU2209"/>
    <n v="1"/>
    <n v="229"/>
    <n v="22.9"/>
    <s v="Completed"/>
    <x v="0"/>
    <x v="0"/>
    <d v="2023-01-22T00:00:00"/>
    <x v="14"/>
    <x v="0"/>
    <s v="Wearables"/>
    <n v="110"/>
    <n v="206.1"/>
    <n v="96.1"/>
    <n v="46.62785055798156"/>
    <s v="March"/>
    <n v="1"/>
    <n v="32"/>
    <n v="1"/>
  </r>
  <r>
    <s v="noon_sales_mar_2025.csv"/>
    <x v="1"/>
    <s v="N-88986"/>
    <x v="88"/>
    <x v="9"/>
    <s v="hamdan.sultan@gmail.com"/>
    <s v="SKU1103"/>
    <n v="1"/>
    <n v="459"/>
    <n v="46"/>
    <s v="Completed"/>
    <x v="4"/>
    <x v="1"/>
    <d v="2023-08-30T00:00:00"/>
    <x v="7"/>
    <x v="2"/>
    <s v="Kitchen"/>
    <n v="210"/>
    <n v="413"/>
    <n v="203"/>
    <n v="49.152542372881356"/>
    <s v="March"/>
    <n v="1"/>
    <n v="46"/>
    <n v="1"/>
  </r>
  <r>
    <s v="noon_sales_mar_2025.csv"/>
    <x v="1"/>
    <s v="N-88987"/>
    <x v="88"/>
    <x v="7"/>
    <s v="guest@noon.com"/>
    <s v="SKU3308"/>
    <n v="2"/>
    <n v="89"/>
    <n v="0"/>
    <s v="Completed"/>
    <x v="2"/>
    <x v="3"/>
    <m/>
    <x v="15"/>
    <x v="1"/>
    <s v="Fragrance"/>
    <n v="42"/>
    <n v="178"/>
    <n v="94"/>
    <n v="52.80898876404494"/>
    <s v="March"/>
    <n v="1"/>
    <m/>
    <m/>
  </r>
  <r>
    <s v="noon_sales_mar_2025.csv"/>
    <x v="1"/>
    <s v="N-88988"/>
    <x v="89"/>
    <x v="1"/>
    <s v="fatima.hassan@hotmail.com"/>
    <s v="SKU4404"/>
    <n v="1"/>
    <n v="2199"/>
    <n v="220"/>
    <s v="Completed"/>
    <x v="1"/>
    <x v="1"/>
    <d v="2022-07-02T00:00:00"/>
    <x v="13"/>
    <x v="0"/>
    <s v="TVs"/>
    <n v="1380"/>
    <n v="1979"/>
    <n v="599"/>
    <n v="30.267812026275898"/>
    <s v="March"/>
    <n v="1"/>
    <n v="32"/>
    <n v="1"/>
  </r>
  <r>
    <s v="noon_sales_mar_2025.csv"/>
    <x v="1"/>
    <s v="N-88989"/>
    <x v="89"/>
    <x v="13"/>
    <s v="sultan.alremeithi@gmail.com"/>
    <s v="SKU2201"/>
    <n v="2"/>
    <n v="349"/>
    <n v="34.9"/>
    <s v="Completed"/>
    <x v="0"/>
    <x v="2"/>
    <d v="2023-10-12T00:00:00"/>
    <x v="2"/>
    <x v="0"/>
    <s v="Accessories"/>
    <n v="165"/>
    <n v="663.1"/>
    <n v="333.1"/>
    <n v="50.233750565525561"/>
    <s v="March"/>
    <n v="1"/>
    <n v="19"/>
    <n v="1"/>
  </r>
  <r>
    <s v="amazon_sales_feb_2025.csv"/>
    <x v="2"/>
    <s v="A-556649"/>
    <x v="0"/>
    <x v="9"/>
    <s v="hamdan.sultan@gmail.com"/>
    <s v="SKU2201"/>
    <n v="2"/>
    <n v="349"/>
    <n v="34.9"/>
    <s v="Completed"/>
    <x v="4"/>
    <x v="1"/>
    <d v="2023-08-30T00:00:00"/>
    <x v="2"/>
    <x v="0"/>
    <s v="Accessories"/>
    <n v="165"/>
    <n v="663.1"/>
    <n v="333.1"/>
    <n v="50.233750565525561"/>
    <s v="February"/>
    <n v="1"/>
    <n v="46"/>
    <n v="1"/>
  </r>
  <r>
    <s v="amazon_sales_feb_2025.csv"/>
    <x v="2"/>
    <s v="A-556658"/>
    <x v="10"/>
    <x v="9"/>
    <s v="hamdan.sultan@gmail.com"/>
    <s v="SKU1103"/>
    <n v="1"/>
    <n v="459"/>
    <n v="46"/>
    <s v="Completed"/>
    <x v="4"/>
    <x v="1"/>
    <d v="2023-08-30T00:00:00"/>
    <x v="7"/>
    <x v="2"/>
    <s v="Kitchen"/>
    <n v="210"/>
    <n v="413"/>
    <n v="203"/>
    <n v="49.152542372881356"/>
    <s v="February"/>
    <n v="1"/>
    <n v="46"/>
    <n v="1"/>
  </r>
  <r>
    <s v="amazon_sales_feb_2025.csv"/>
    <x v="2"/>
    <s v="A-556667"/>
    <x v="9"/>
    <x v="9"/>
    <s v="hamdan.sultan@gmail.com"/>
    <s v="SKU4401"/>
    <n v="1"/>
    <n v="1299"/>
    <n v="0"/>
    <s v="Completed"/>
    <x v="4"/>
    <x v="1"/>
    <d v="2023-08-30T00:00:00"/>
    <x v="0"/>
    <x v="0"/>
    <s v="TVs"/>
    <n v="820"/>
    <n v="1299"/>
    <n v="479"/>
    <n v="36.87451886066205"/>
    <s v="February"/>
    <n v="1"/>
    <n v="46"/>
    <n v="1"/>
  </r>
  <r>
    <s v="amazon_sales_feb_2025.csv"/>
    <x v="2"/>
    <s v="A-556660"/>
    <x v="1"/>
    <x v="0"/>
    <s v="ahmed.almarzouqi@gmail.com"/>
    <s v="SKU4402"/>
    <n v="1"/>
    <n v="599"/>
    <n v="60"/>
    <s v="Completed"/>
    <x v="0"/>
    <x v="0"/>
    <d v="2022-03-15T00:00:00"/>
    <x v="12"/>
    <x v="0"/>
    <s v="Audio"/>
    <n v="350"/>
    <n v="539"/>
    <n v="189"/>
    <n v="35.064935064935064"/>
    <s v="February"/>
    <n v="1"/>
    <n v="52"/>
    <n v="1"/>
  </r>
  <r>
    <s v="amazon_sales_feb_2025.csv"/>
    <x v="2"/>
    <s v="A-556668"/>
    <x v="9"/>
    <x v="0"/>
    <s v="ahmed.almarzouqi@gmail.com"/>
    <s v="SKU2205"/>
    <n v="1"/>
    <n v="529"/>
    <n v="52.9"/>
    <s v="Completed"/>
    <x v="0"/>
    <x v="0"/>
    <d v="2022-03-15T00:00:00"/>
    <x v="9"/>
    <x v="0"/>
    <s v="Audio"/>
    <n v="260"/>
    <n v="476.1"/>
    <n v="216.10000000000002"/>
    <n v="45.389624028565429"/>
    <s v="February"/>
    <n v="1"/>
    <n v="52"/>
    <n v="1"/>
  </r>
  <r>
    <s v="amazon_sales_feb_2025.csv"/>
    <x v="2"/>
    <s v="A-556662"/>
    <x v="5"/>
    <x v="17"/>
    <s v="kevin.dsouza@gmail.com"/>
    <s v="SKU2201"/>
    <n v="2"/>
    <n v="349"/>
    <n v="0"/>
    <s v="Completed"/>
    <x v="0"/>
    <x v="2"/>
    <d v="2025-02-01T00:00:00"/>
    <x v="2"/>
    <x v="0"/>
    <s v="Accessories"/>
    <n v="165"/>
    <n v="698"/>
    <n v="368"/>
    <n v="52.722063037249278"/>
    <s v="February"/>
    <n v="1"/>
    <n v="7"/>
    <n v="1"/>
  </r>
  <r>
    <s v="amazon_sales_feb_2025.csv"/>
    <x v="2"/>
    <s v="A-556652"/>
    <x v="4"/>
    <x v="17"/>
    <s v="kevin.dsouza@gmail.com"/>
    <s v="SKU4401"/>
    <n v="1"/>
    <n v="1299"/>
    <n v="130"/>
    <s v="Completed"/>
    <x v="0"/>
    <x v="2"/>
    <d v="2025-02-01T00:00:00"/>
    <x v="0"/>
    <x v="0"/>
    <s v="TVs"/>
    <n v="820"/>
    <n v="1169"/>
    <n v="349"/>
    <n v="29.854576561163388"/>
    <s v="February"/>
    <n v="1"/>
    <n v="7"/>
    <n v="1"/>
  </r>
  <r>
    <s v="amazon_sales_feb_2025.csv"/>
    <x v="2"/>
    <s v="A-556656"/>
    <x v="8"/>
    <x v="17"/>
    <s v="kevin.dsouza@gmail.com"/>
    <s v="SKU4403"/>
    <n v="1"/>
    <n v="749"/>
    <n v="75"/>
    <s v="Completed"/>
    <x v="0"/>
    <x v="2"/>
    <d v="2025-02-01T00:00:00"/>
    <x v="6"/>
    <x v="0"/>
    <s v="Tablets"/>
    <n v="490"/>
    <n v="674"/>
    <n v="184"/>
    <n v="27.299703264094955"/>
    <s v="February"/>
    <n v="1"/>
    <n v="7"/>
    <n v="1"/>
  </r>
  <r>
    <s v="amazon_sales_feb_2025.csv"/>
    <x v="2"/>
    <s v="A-556654"/>
    <x v="6"/>
    <x v="8"/>
    <s v="layla.nasser@gmail.com"/>
    <s v="SKU1101"/>
    <n v="2"/>
    <n v="199"/>
    <n v="20"/>
    <s v="Completed"/>
    <x v="3"/>
    <x v="1"/>
    <d v="2023-01-05T00:00:00"/>
    <x v="8"/>
    <x v="2"/>
    <s v="Kitchen"/>
    <n v="95"/>
    <n v="378"/>
    <n v="188"/>
    <n v="49.735449735449734"/>
    <s v="February"/>
    <n v="1"/>
    <n v="35"/>
    <n v="1"/>
  </r>
  <r>
    <s v="amazon_sales_feb_2025.csv"/>
    <x v="2"/>
    <s v="A-556664"/>
    <x v="2"/>
    <x v="8"/>
    <s v="layla.nasser@gmail.com"/>
    <s v="SKU4404"/>
    <n v="1"/>
    <n v="2199"/>
    <n v="220"/>
    <s v="Completed"/>
    <x v="3"/>
    <x v="1"/>
    <d v="2023-01-05T00:00:00"/>
    <x v="13"/>
    <x v="0"/>
    <s v="TVs"/>
    <n v="1380"/>
    <n v="1979"/>
    <n v="599"/>
    <n v="30.267812026275898"/>
    <s v="February"/>
    <n v="1"/>
    <n v="35"/>
    <n v="1"/>
  </r>
  <r>
    <s v="amazon_sales_feb_2025.csv"/>
    <x v="2"/>
    <s v="A-556665"/>
    <x v="3"/>
    <x v="18"/>
    <s v="meera.chandran@gmail.com"/>
    <s v="SKU1101"/>
    <n v="3"/>
    <n v="199"/>
    <n v="30"/>
    <s v="Completed"/>
    <x v="0"/>
    <x v="2"/>
    <d v="2025-01-08T00:00:00"/>
    <x v="8"/>
    <x v="2"/>
    <s v="Kitchen"/>
    <n v="95"/>
    <n v="567"/>
    <n v="282"/>
    <n v="49.735449735449734"/>
    <s v="February"/>
    <n v="1"/>
    <n v="20"/>
    <n v="1"/>
  </r>
  <r>
    <s v="amazon_sales_feb_2025.csv"/>
    <x v="2"/>
    <s v="A-556650"/>
    <x v="0"/>
    <x v="18"/>
    <s v="meera.chandran@gmail.com"/>
    <s v="SKU1105"/>
    <n v="1"/>
    <n v="899"/>
    <n v="90"/>
    <s v="Completed"/>
    <x v="0"/>
    <x v="2"/>
    <d v="2025-01-08T00:00:00"/>
    <x v="4"/>
    <x v="2"/>
    <s v="Cleaning"/>
    <n v="520"/>
    <n v="809"/>
    <n v="289"/>
    <n v="35.723114956736715"/>
    <s v="February"/>
    <n v="1"/>
    <n v="20"/>
    <n v="1"/>
  </r>
  <r>
    <s v="amazon_sales_feb_2025.csv"/>
    <x v="2"/>
    <s v="A-556657"/>
    <x v="10"/>
    <x v="18"/>
    <s v="meera.chandran@gmail.com"/>
    <s v="SKU2209"/>
    <n v="2"/>
    <n v="229"/>
    <n v="22.9"/>
    <s v="Completed"/>
    <x v="0"/>
    <x v="2"/>
    <d v="2025-01-08T00:00:00"/>
    <x v="14"/>
    <x v="0"/>
    <s v="Wearables"/>
    <n v="110"/>
    <n v="435.1"/>
    <n v="215.10000000000002"/>
    <n v="49.436911054929908"/>
    <s v="February"/>
    <n v="1"/>
    <n v="20"/>
    <n v="1"/>
  </r>
  <r>
    <s v="amazon_sales_feb_2025.csv"/>
    <x v="2"/>
    <s v="A-556653"/>
    <x v="6"/>
    <x v="5"/>
    <s v="omar.farooq@gmail.com"/>
    <s v="SKU2205"/>
    <n v="2"/>
    <n v="529"/>
    <n v="53"/>
    <s v="Completed"/>
    <x v="0"/>
    <x v="1"/>
    <d v="2022-11-18T00:00:00"/>
    <x v="9"/>
    <x v="0"/>
    <s v="Audio"/>
    <n v="260"/>
    <n v="1005"/>
    <n v="485"/>
    <n v="48.258706467661696"/>
    <s v="February"/>
    <n v="1"/>
    <n v="32"/>
    <n v="1"/>
  </r>
  <r>
    <s v="amazon_sales_feb_2025.csv"/>
    <x v="2"/>
    <s v="A-556661"/>
    <x v="5"/>
    <x v="5"/>
    <s v="omar.farooq@gmail.com"/>
    <s v="SKU1106"/>
    <n v="1"/>
    <n v="1099"/>
    <n v="110"/>
    <s v="Completed"/>
    <x v="0"/>
    <x v="1"/>
    <d v="2022-11-18T00:00:00"/>
    <x v="3"/>
    <x v="2"/>
    <s v="Cleaning"/>
    <n v="650"/>
    <n v="989"/>
    <n v="339"/>
    <n v="34.277047522750252"/>
    <s v="February"/>
    <n v="1"/>
    <n v="32"/>
    <n v="1"/>
  </r>
  <r>
    <s v="amazon_sales_feb_2025.csv"/>
    <x v="2"/>
    <s v="A-556651"/>
    <x v="4"/>
    <x v="7"/>
    <s v="guest@amazon.com"/>
    <s v="SKU3302"/>
    <n v="3"/>
    <n v="45"/>
    <n v="0"/>
    <s v="Completed"/>
    <x v="2"/>
    <x v="3"/>
    <m/>
    <x v="10"/>
    <x v="1"/>
    <s v="Organisation"/>
    <n v="18"/>
    <n v="135"/>
    <n v="81"/>
    <n v="60"/>
    <s v="February"/>
    <n v="1"/>
    <m/>
    <m/>
  </r>
  <r>
    <s v="amazon_sales_feb_2025.csv"/>
    <x v="2"/>
    <s v="A-556655"/>
    <x v="8"/>
    <x v="7"/>
    <s v="guest@amazon.com"/>
    <s v="SKU3305"/>
    <n v="3"/>
    <n v="29"/>
    <n v="0"/>
    <s v="Completed"/>
    <x v="2"/>
    <x v="3"/>
    <m/>
    <x v="11"/>
    <x v="1"/>
    <s v="Cleaning"/>
    <n v="11"/>
    <n v="87"/>
    <n v="54"/>
    <n v="62.068965517241381"/>
    <s v="February"/>
    <n v="1"/>
    <m/>
    <m/>
  </r>
  <r>
    <s v="amazon_sales_feb_2025.csv"/>
    <x v="2"/>
    <s v="A-556659"/>
    <x v="1"/>
    <x v="7"/>
    <s v="guest@amazon.com"/>
    <s v="SKU3301"/>
    <n v="4"/>
    <n v="19"/>
    <n v="0"/>
    <s v="Completed"/>
    <x v="2"/>
    <x v="3"/>
    <m/>
    <x v="1"/>
    <x v="1"/>
    <s v="Cleaning"/>
    <n v="8"/>
    <n v="76"/>
    <n v="44"/>
    <n v="57.894736842105267"/>
    <s v="February"/>
    <n v="1"/>
    <m/>
    <m/>
  </r>
  <r>
    <s v="amazon_sales_feb_2025.csv"/>
    <x v="2"/>
    <s v="A-556663"/>
    <x v="2"/>
    <x v="7"/>
    <s v="guest@amazon.com"/>
    <s v="SKU3308"/>
    <n v="2"/>
    <n v="89"/>
    <n v="8.9"/>
    <s v="Completed"/>
    <x v="2"/>
    <x v="3"/>
    <m/>
    <x v="15"/>
    <x v="1"/>
    <s v="Fragrance"/>
    <n v="42"/>
    <n v="169.1"/>
    <n v="85.1"/>
    <n v="50.325251330573629"/>
    <s v="February"/>
    <n v="1"/>
    <m/>
    <m/>
  </r>
  <r>
    <s v="amazon_sales_feb_2025.csv"/>
    <x v="2"/>
    <s v="A-556666"/>
    <x v="3"/>
    <x v="7"/>
    <s v="guest@amazon.com"/>
    <s v="SKU3302"/>
    <n v="2"/>
    <n v="45"/>
    <n v="0"/>
    <s v="Completed"/>
    <x v="2"/>
    <x v="3"/>
    <m/>
    <x v="10"/>
    <x v="1"/>
    <s v="Organisation"/>
    <n v="18"/>
    <n v="90"/>
    <n v="54"/>
    <n v="60"/>
    <s v="February"/>
    <n v="1"/>
    <m/>
    <m/>
  </r>
  <r>
    <s v="amazon_sales_feb_2025.csv"/>
    <x v="2"/>
    <s v="A-556669"/>
    <x v="7"/>
    <x v="17"/>
    <s v="kevin.dsouza@gmail.com"/>
    <s v="SKU1105"/>
    <n v="2"/>
    <n v="899"/>
    <n v="90"/>
    <s v="Completed"/>
    <x v="0"/>
    <x v="2"/>
    <d v="2025-02-01T00:00:00"/>
    <x v="4"/>
    <x v="2"/>
    <s v="Cleaning"/>
    <n v="520"/>
    <n v="1708"/>
    <n v="668"/>
    <n v="39.110070257611241"/>
    <s v="February"/>
    <n v="1"/>
    <n v="7"/>
    <n v="1"/>
  </r>
  <r>
    <s v="amazon_sales_feb_2025.csv"/>
    <x v="2"/>
    <s v="A-556670"/>
    <x v="7"/>
    <x v="7"/>
    <s v="guest@amazon.com"/>
    <s v="SKU3305"/>
    <n v="4"/>
    <n v="29"/>
    <n v="0"/>
    <s v="Completed"/>
    <x v="2"/>
    <x v="3"/>
    <m/>
    <x v="11"/>
    <x v="1"/>
    <s v="Cleaning"/>
    <n v="11"/>
    <n v="116"/>
    <n v="72"/>
    <n v="62.068965517241381"/>
    <s v="February"/>
    <n v="1"/>
    <m/>
    <m/>
  </r>
  <r>
    <s v="amazon_sales_feb_2025.csv"/>
    <x v="2"/>
    <s v="A-556671"/>
    <x v="11"/>
    <x v="5"/>
    <s v="omar.farooq@gmail.com"/>
    <s v="SKU4403"/>
    <n v="1"/>
    <n v="749"/>
    <n v="75"/>
    <s v="Completed"/>
    <x v="0"/>
    <x v="1"/>
    <d v="2022-11-18T00:00:00"/>
    <x v="6"/>
    <x v="0"/>
    <s v="Tablets"/>
    <n v="490"/>
    <n v="674"/>
    <n v="184"/>
    <n v="27.299703264094955"/>
    <s v="February"/>
    <n v="1"/>
    <n v="32"/>
    <n v="1"/>
  </r>
  <r>
    <s v="amazon_sales_feb_2025.csv"/>
    <x v="2"/>
    <s v="A-556672"/>
    <x v="11"/>
    <x v="8"/>
    <s v="layla.nasser@gmail.com"/>
    <s v="SKU2209"/>
    <n v="1"/>
    <n v="229"/>
    <n v="22.9"/>
    <s v="Completed"/>
    <x v="3"/>
    <x v="1"/>
    <d v="2023-01-05T00:00:00"/>
    <x v="14"/>
    <x v="0"/>
    <s v="Wearables"/>
    <n v="110"/>
    <n v="206.1"/>
    <n v="96.1"/>
    <n v="46.62785055798156"/>
    <s v="February"/>
    <n v="1"/>
    <n v="35"/>
    <n v="1"/>
  </r>
  <r>
    <s v="amazon_sales_feb_2025.csv"/>
    <x v="2"/>
    <s v="A-556673"/>
    <x v="12"/>
    <x v="7"/>
    <s v="guest@amazon.com"/>
    <s v="SKU3301"/>
    <n v="3"/>
    <n v="19"/>
    <n v="0"/>
    <s v="Completed"/>
    <x v="2"/>
    <x v="3"/>
    <m/>
    <x v="1"/>
    <x v="1"/>
    <s v="Cleaning"/>
    <n v="8"/>
    <n v="57"/>
    <n v="33"/>
    <n v="57.894736842105267"/>
    <s v="February"/>
    <n v="1"/>
    <m/>
    <m/>
  </r>
  <r>
    <s v="amazon_sales_feb_2025.csv"/>
    <x v="2"/>
    <s v="A-556674"/>
    <x v="12"/>
    <x v="18"/>
    <s v="meera.chandran@gmail.com"/>
    <s v="SKU4402"/>
    <n v="1"/>
    <n v="599"/>
    <n v="59.9"/>
    <s v="Completed"/>
    <x v="0"/>
    <x v="2"/>
    <d v="2025-01-08T00:00:00"/>
    <x v="12"/>
    <x v="0"/>
    <s v="Audio"/>
    <n v="350"/>
    <n v="539.1"/>
    <n v="189.10000000000002"/>
    <n v="35.076980152105364"/>
    <s v="February"/>
    <n v="1"/>
    <n v="20"/>
    <n v="1"/>
  </r>
  <r>
    <s v="amazon_sales_feb_2025.csv"/>
    <x v="2"/>
    <s v="A-556675"/>
    <x v="13"/>
    <x v="9"/>
    <s v="hamdan.sultan@gmail.com"/>
    <s v="SKU1106"/>
    <n v="1"/>
    <n v="1099"/>
    <n v="110"/>
    <s v="Completed"/>
    <x v="4"/>
    <x v="1"/>
    <d v="2023-08-30T00:00:00"/>
    <x v="3"/>
    <x v="2"/>
    <s v="Cleaning"/>
    <n v="650"/>
    <n v="989"/>
    <n v="339"/>
    <n v="34.277047522750252"/>
    <s v="February"/>
    <n v="1"/>
    <n v="46"/>
    <n v="1"/>
  </r>
  <r>
    <s v="amazon_sales_feb_2025.csv"/>
    <x v="2"/>
    <s v="A-556676"/>
    <x v="13"/>
    <x v="7"/>
    <s v="guest@amazon.com"/>
    <s v="SKU2201"/>
    <n v="2"/>
    <n v="349"/>
    <n v="0"/>
    <s v="Completed"/>
    <x v="2"/>
    <x v="3"/>
    <m/>
    <x v="2"/>
    <x v="0"/>
    <s v="Accessories"/>
    <n v="165"/>
    <n v="698"/>
    <n v="368"/>
    <n v="52.722063037249278"/>
    <s v="February"/>
    <n v="1"/>
    <m/>
    <m/>
  </r>
  <r>
    <s v="amazon_sales_feb_2025.csv"/>
    <x v="2"/>
    <s v="A-556677"/>
    <x v="14"/>
    <x v="0"/>
    <s v="ahmed.almarzouqi@gmail.com"/>
    <s v="SKU3308"/>
    <n v="1"/>
    <n v="89"/>
    <n v="8.9"/>
    <s v="Completed"/>
    <x v="0"/>
    <x v="0"/>
    <d v="2022-03-15T00:00:00"/>
    <x v="15"/>
    <x v="1"/>
    <s v="Fragrance"/>
    <n v="42"/>
    <n v="80.099999999999994"/>
    <n v="38.099999999999994"/>
    <n v="47.565543071161045"/>
    <s v="February"/>
    <n v="1"/>
    <n v="52"/>
    <n v="1"/>
  </r>
  <r>
    <s v="amazon_sales_feb_2025.csv"/>
    <x v="2"/>
    <s v="A-556679"/>
    <x v="15"/>
    <x v="5"/>
    <s v="omar.farooq@gmail.com"/>
    <s v="SKU1101"/>
    <n v="2"/>
    <n v="199"/>
    <n v="20"/>
    <s v="Completed"/>
    <x v="0"/>
    <x v="1"/>
    <d v="2022-11-18T00:00:00"/>
    <x v="8"/>
    <x v="2"/>
    <s v="Kitchen"/>
    <n v="95"/>
    <n v="378"/>
    <n v="188"/>
    <n v="49.735449735449734"/>
    <s v="February"/>
    <n v="1"/>
    <n v="32"/>
    <n v="1"/>
  </r>
  <r>
    <s v="amazon_sales_feb_2025.csv"/>
    <x v="2"/>
    <s v="A-556680"/>
    <x v="15"/>
    <x v="7"/>
    <s v="guest@amazon.com"/>
    <s v="SKU3302"/>
    <n v="4"/>
    <n v="45"/>
    <n v="22.5"/>
    <s v="Completed"/>
    <x v="2"/>
    <x v="3"/>
    <m/>
    <x v="10"/>
    <x v="1"/>
    <s v="Organisation"/>
    <n v="18"/>
    <n v="157.5"/>
    <n v="85.5"/>
    <n v="54.285714285714285"/>
    <s v="February"/>
    <n v="1"/>
    <m/>
    <m/>
  </r>
  <r>
    <s v="amazon_sales_feb_2025.csv"/>
    <x v="2"/>
    <s v="A-556681"/>
    <x v="16"/>
    <x v="8"/>
    <s v="layla.nasser@gmail.com"/>
    <s v="SKU4401"/>
    <n v="1"/>
    <n v="1299"/>
    <n v="130"/>
    <s v="Completed"/>
    <x v="3"/>
    <x v="1"/>
    <d v="2023-01-05T00:00:00"/>
    <x v="0"/>
    <x v="0"/>
    <s v="TVs"/>
    <n v="820"/>
    <n v="1169"/>
    <n v="349"/>
    <n v="29.854576561163388"/>
    <s v="February"/>
    <n v="1"/>
    <n v="35"/>
    <n v="1"/>
  </r>
  <r>
    <s v="amazon_sales_feb_2025.csv"/>
    <x v="2"/>
    <s v="A-556682"/>
    <x v="16"/>
    <x v="18"/>
    <s v="meera.chandran@gmail.com"/>
    <s v="SKU2205"/>
    <n v="1"/>
    <n v="529"/>
    <n v="0"/>
    <s v="Completed"/>
    <x v="0"/>
    <x v="2"/>
    <d v="2025-01-08T00:00:00"/>
    <x v="9"/>
    <x v="0"/>
    <s v="Audio"/>
    <n v="260"/>
    <n v="529"/>
    <n v="269"/>
    <n v="50.850661625708881"/>
    <s v="February"/>
    <n v="1"/>
    <n v="20"/>
    <n v="1"/>
  </r>
  <r>
    <s v="amazon_sales_feb_2025.csv"/>
    <x v="2"/>
    <s v="A-556683"/>
    <x v="17"/>
    <x v="7"/>
    <s v="guest@amazon.com"/>
    <s v="SKU3305"/>
    <n v="2"/>
    <n v="29"/>
    <n v="0"/>
    <s v="Completed"/>
    <x v="2"/>
    <x v="3"/>
    <m/>
    <x v="11"/>
    <x v="1"/>
    <s v="Cleaning"/>
    <n v="11"/>
    <n v="58"/>
    <n v="36"/>
    <n v="62.068965517241381"/>
    <s v="February"/>
    <n v="1"/>
    <m/>
    <m/>
  </r>
  <r>
    <s v="amazon_sales_feb_2025.csv"/>
    <x v="2"/>
    <s v="A-556684"/>
    <x v="17"/>
    <x v="9"/>
    <s v="hamdan.sultan@gmail.com"/>
    <s v="SKU1105"/>
    <n v="1"/>
    <n v="899"/>
    <n v="89.9"/>
    <s v="Completed"/>
    <x v="4"/>
    <x v="1"/>
    <d v="2023-08-30T00:00:00"/>
    <x v="4"/>
    <x v="2"/>
    <s v="Cleaning"/>
    <n v="520"/>
    <n v="809.1"/>
    <n v="289.10000000000002"/>
    <n v="35.731059201582006"/>
    <s v="February"/>
    <n v="1"/>
    <n v="46"/>
    <n v="1"/>
  </r>
  <r>
    <s v="amazon_sales_feb_2025.csv"/>
    <x v="2"/>
    <s v="A-556685"/>
    <x v="18"/>
    <x v="17"/>
    <s v="kevin.dsouza@gmail.com"/>
    <s v="SKU4403"/>
    <n v="2"/>
    <n v="749"/>
    <n v="75"/>
    <s v="Completed"/>
    <x v="0"/>
    <x v="2"/>
    <d v="2025-02-01T00:00:00"/>
    <x v="6"/>
    <x v="0"/>
    <s v="Tablets"/>
    <n v="490"/>
    <n v="1423"/>
    <n v="443"/>
    <n v="31.131412508784255"/>
    <s v="February"/>
    <n v="1"/>
    <n v="7"/>
    <n v="1"/>
  </r>
  <r>
    <s v="amazon_sales_feb_2025.csv"/>
    <x v="2"/>
    <s v="A-556686"/>
    <x v="18"/>
    <x v="0"/>
    <s v="ahmed.almarzouqi@gmail.com"/>
    <s v="SKU2209"/>
    <n v="1"/>
    <n v="229"/>
    <n v="0"/>
    <s v="Completed"/>
    <x v="0"/>
    <x v="0"/>
    <d v="2022-03-15T00:00:00"/>
    <x v="14"/>
    <x v="0"/>
    <s v="Wearables"/>
    <n v="110"/>
    <n v="229"/>
    <n v="119"/>
    <n v="51.965065502183407"/>
    <s v="February"/>
    <n v="1"/>
    <n v="52"/>
    <n v="1"/>
  </r>
  <r>
    <s v="amazon_sales_feb_2025.csv"/>
    <x v="2"/>
    <s v="A-556687"/>
    <x v="19"/>
    <x v="7"/>
    <s v="guest@amazon.com"/>
    <s v="SKU3301"/>
    <n v="5"/>
    <n v="19"/>
    <n v="0"/>
    <s v="Completed"/>
    <x v="2"/>
    <x v="3"/>
    <m/>
    <x v="1"/>
    <x v="1"/>
    <s v="Cleaning"/>
    <n v="8"/>
    <n v="95"/>
    <n v="55"/>
    <n v="57.894736842105267"/>
    <s v="February"/>
    <n v="1"/>
    <m/>
    <m/>
  </r>
  <r>
    <s v="amazon_sales_feb_2025.csv"/>
    <x v="2"/>
    <s v="A-556688"/>
    <x v="19"/>
    <x v="5"/>
    <s v="omar.farooq@gmail.com"/>
    <s v="SKU1103"/>
    <n v="1"/>
    <n v="459"/>
    <n v="46"/>
    <s v="Completed"/>
    <x v="0"/>
    <x v="1"/>
    <d v="2022-11-18T00:00:00"/>
    <x v="7"/>
    <x v="2"/>
    <s v="Kitchen"/>
    <n v="210"/>
    <n v="413"/>
    <n v="203"/>
    <n v="49.152542372881356"/>
    <s v="February"/>
    <n v="1"/>
    <n v="32"/>
    <n v="1"/>
  </r>
  <r>
    <s v="amazon_sales_feb_2025.csv"/>
    <x v="2"/>
    <s v="A-556689"/>
    <x v="20"/>
    <x v="8"/>
    <s v="layla.nasser@gmail.com"/>
    <s v="SKU4402"/>
    <n v="1"/>
    <n v="599"/>
    <n v="60"/>
    <s v="Completed"/>
    <x v="3"/>
    <x v="1"/>
    <d v="2023-01-05T00:00:00"/>
    <x v="12"/>
    <x v="0"/>
    <s v="Audio"/>
    <n v="350"/>
    <n v="539"/>
    <n v="189"/>
    <n v="35.064935064935064"/>
    <s v="February"/>
    <n v="1"/>
    <n v="35"/>
    <n v="1"/>
  </r>
  <r>
    <s v="amazon_sales_feb_2025.csv"/>
    <x v="2"/>
    <s v="A-556690"/>
    <x v="20"/>
    <x v="18"/>
    <s v="meera.chandran@gmail.com"/>
    <s v="SKU2210"/>
    <n v="1"/>
    <n v="189"/>
    <n v="19"/>
    <s v="Completed"/>
    <x v="0"/>
    <x v="2"/>
    <d v="2025-01-08T00:00:00"/>
    <x v="5"/>
    <x v="0"/>
    <s v="Wearables"/>
    <n v="95"/>
    <n v="170"/>
    <n v="75"/>
    <n v="44.117647058823529"/>
    <s v="February"/>
    <n v="1"/>
    <n v="20"/>
    <n v="1"/>
  </r>
  <r>
    <s v="amazon_sales_feb_2025.csv"/>
    <x v="2"/>
    <s v="A-556691"/>
    <x v="21"/>
    <x v="7"/>
    <s v="guest@amazon.com"/>
    <s v="SKU3308"/>
    <n v="2"/>
    <n v="89"/>
    <n v="0"/>
    <s v="Completed"/>
    <x v="2"/>
    <x v="3"/>
    <m/>
    <x v="15"/>
    <x v="1"/>
    <s v="Fragrance"/>
    <n v="42"/>
    <n v="178"/>
    <n v="94"/>
    <n v="52.80898876404494"/>
    <s v="February"/>
    <n v="1"/>
    <m/>
    <m/>
  </r>
  <r>
    <s v="amazon_sales_feb_2025.csv"/>
    <x v="2"/>
    <s v="A-556693"/>
    <x v="22"/>
    <x v="17"/>
    <s v="kevin.dsouza@gmail.com"/>
    <s v="SKU1106"/>
    <n v="1"/>
    <n v="1099"/>
    <n v="110"/>
    <s v="Completed"/>
    <x v="0"/>
    <x v="2"/>
    <d v="2025-02-01T00:00:00"/>
    <x v="3"/>
    <x v="2"/>
    <s v="Cleaning"/>
    <n v="650"/>
    <n v="989"/>
    <n v="339"/>
    <n v="34.277047522750252"/>
    <s v="February"/>
    <n v="1"/>
    <n v="7"/>
    <n v="1"/>
  </r>
  <r>
    <s v="amazon_sales_feb_2025.csv"/>
    <x v="2"/>
    <s v="A-556694"/>
    <x v="22"/>
    <x v="0"/>
    <s v="ahmed.almarzouqi@gmail.com"/>
    <s v="SKU2201"/>
    <n v="2"/>
    <n v="349"/>
    <n v="34.9"/>
    <s v="Completed"/>
    <x v="0"/>
    <x v="0"/>
    <d v="2022-03-15T00:00:00"/>
    <x v="2"/>
    <x v="0"/>
    <s v="Accessories"/>
    <n v="165"/>
    <n v="663.1"/>
    <n v="333.1"/>
    <n v="50.233750565525561"/>
    <s v="February"/>
    <n v="1"/>
    <n v="52"/>
    <n v="1"/>
  </r>
  <r>
    <s v="amazon_sales_feb_2025.csv"/>
    <x v="2"/>
    <s v="A-556695"/>
    <x v="23"/>
    <x v="7"/>
    <s v="guest@amazon.com"/>
    <s v="SKU3302"/>
    <n v="3"/>
    <n v="45"/>
    <n v="0"/>
    <s v="Completed"/>
    <x v="2"/>
    <x v="3"/>
    <m/>
    <x v="10"/>
    <x v="1"/>
    <s v="Organisation"/>
    <n v="18"/>
    <n v="135"/>
    <n v="81"/>
    <n v="60"/>
    <s v="February"/>
    <n v="1"/>
    <m/>
    <m/>
  </r>
  <r>
    <s v="amazon_sales_feb_2025.csv"/>
    <x v="2"/>
    <s v="A-556696"/>
    <x v="23"/>
    <x v="5"/>
    <s v="omar.farooq@gmail.com"/>
    <s v="SKU4401"/>
    <n v="1"/>
    <n v="1299"/>
    <n v="130"/>
    <s v="Completed"/>
    <x v="0"/>
    <x v="1"/>
    <d v="2022-11-18T00:00:00"/>
    <x v="0"/>
    <x v="0"/>
    <s v="TVs"/>
    <n v="820"/>
    <n v="1169"/>
    <n v="349"/>
    <n v="29.854576561163388"/>
    <s v="February"/>
    <n v="1"/>
    <n v="32"/>
    <n v="1"/>
  </r>
  <r>
    <s v="amazon_sales_feb_2025.csv"/>
    <x v="2"/>
    <s v="A-556697"/>
    <x v="24"/>
    <x v="8"/>
    <s v="layla.nasser@gmail.com"/>
    <s v="SKU1105"/>
    <n v="1"/>
    <n v="899"/>
    <n v="0"/>
    <s v="Completed"/>
    <x v="3"/>
    <x v="1"/>
    <d v="2023-01-05T00:00:00"/>
    <x v="4"/>
    <x v="2"/>
    <s v="Cleaning"/>
    <n v="520"/>
    <n v="899"/>
    <n v="379"/>
    <n v="42.157953281423808"/>
    <s v="February"/>
    <n v="1"/>
    <n v="35"/>
    <n v="1"/>
  </r>
  <r>
    <s v="amazon_sales_feb_2025.csv"/>
    <x v="2"/>
    <s v="A-556698"/>
    <x v="24"/>
    <x v="18"/>
    <s v="meera.chandran@gmail.com"/>
    <s v="SKU2205"/>
    <n v="2"/>
    <n v="529"/>
    <n v="53"/>
    <s v="Completed"/>
    <x v="0"/>
    <x v="2"/>
    <d v="2025-01-08T00:00:00"/>
    <x v="9"/>
    <x v="0"/>
    <s v="Audio"/>
    <n v="260"/>
    <n v="1005"/>
    <n v="485"/>
    <n v="48.258706467661696"/>
    <s v="February"/>
    <n v="1"/>
    <n v="20"/>
    <n v="1"/>
  </r>
  <r>
    <s v="amazon_sales_feb_2025.csv"/>
    <x v="2"/>
    <s v="A-556699"/>
    <x v="25"/>
    <x v="7"/>
    <s v="guest@amazon.com"/>
    <s v="SKU3305"/>
    <n v="3"/>
    <n v="29"/>
    <n v="0"/>
    <s v="Completed"/>
    <x v="2"/>
    <x v="3"/>
    <m/>
    <x v="11"/>
    <x v="1"/>
    <s v="Cleaning"/>
    <n v="11"/>
    <n v="87"/>
    <n v="54"/>
    <n v="62.068965517241381"/>
    <s v="February"/>
    <n v="1"/>
    <m/>
    <m/>
  </r>
  <r>
    <s v="amazon_sales_feb_2025.csv"/>
    <x v="2"/>
    <s v="A-556700"/>
    <x v="25"/>
    <x v="9"/>
    <s v="hamdan.sultan@gmail.com"/>
    <s v="SKU4403"/>
    <n v="1"/>
    <n v="749"/>
    <n v="74.900000000000006"/>
    <s v="Completed"/>
    <x v="4"/>
    <x v="1"/>
    <d v="2023-08-30T00:00:00"/>
    <x v="6"/>
    <x v="0"/>
    <s v="Tablets"/>
    <n v="490"/>
    <n v="674.1"/>
    <n v="184.10000000000002"/>
    <n v="27.310488058151609"/>
    <s v="February"/>
    <n v="1"/>
    <n v="46"/>
    <n v="1"/>
  </r>
  <r>
    <s v="amazon_sales_feb_2025.csv"/>
    <x v="2"/>
    <s v="A-556701"/>
    <x v="26"/>
    <x v="17"/>
    <s v="kevin.dsouza@gmail.com"/>
    <s v="SKU2209"/>
    <n v="1"/>
    <n v="229"/>
    <n v="22.9"/>
    <s v="Completed"/>
    <x v="0"/>
    <x v="2"/>
    <d v="2025-02-01T00:00:00"/>
    <x v="14"/>
    <x v="0"/>
    <s v="Wearables"/>
    <n v="110"/>
    <n v="206.1"/>
    <n v="96.1"/>
    <n v="46.62785055798156"/>
    <s v="February"/>
    <n v="1"/>
    <n v="7"/>
    <n v="1"/>
  </r>
  <r>
    <s v="amazon_sales_feb_2025.csv"/>
    <x v="2"/>
    <s v="A-556702"/>
    <x v="26"/>
    <x v="0"/>
    <s v="ahmed.almarzouqi@gmail.com"/>
    <s v="SKU1101"/>
    <n v="3"/>
    <n v="199"/>
    <n v="30"/>
    <s v="Completed"/>
    <x v="0"/>
    <x v="0"/>
    <d v="2022-03-15T00:00:00"/>
    <x v="8"/>
    <x v="2"/>
    <s v="Kitchen"/>
    <n v="95"/>
    <n v="567"/>
    <n v="282"/>
    <n v="49.735449735449734"/>
    <s v="February"/>
    <n v="1"/>
    <n v="52"/>
    <n v="1"/>
  </r>
  <r>
    <s v="amazon_sales_feb_2025.csv"/>
    <x v="2"/>
    <s v="A-556703"/>
    <x v="27"/>
    <x v="7"/>
    <s v="guest@amazon.com"/>
    <s v="SKU3301"/>
    <n v="4"/>
    <n v="19"/>
    <n v="0"/>
    <s v="Completed"/>
    <x v="2"/>
    <x v="3"/>
    <m/>
    <x v="1"/>
    <x v="1"/>
    <s v="Cleaning"/>
    <n v="8"/>
    <n v="76"/>
    <n v="44"/>
    <n v="57.894736842105267"/>
    <s v="February"/>
    <n v="1"/>
    <m/>
    <m/>
  </r>
  <r>
    <s v="amazon_sales_feb_2025.csv"/>
    <x v="2"/>
    <s v="A-556704"/>
    <x v="27"/>
    <x v="5"/>
    <s v="omar.farooq@gmail.com"/>
    <s v="SKU4402"/>
    <n v="1"/>
    <n v="599"/>
    <n v="59.9"/>
    <s v="Completed"/>
    <x v="0"/>
    <x v="1"/>
    <d v="2022-11-18T00:00:00"/>
    <x v="12"/>
    <x v="0"/>
    <s v="Audio"/>
    <n v="350"/>
    <n v="539.1"/>
    <n v="189.10000000000002"/>
    <n v="35.076980152105364"/>
    <s v="February"/>
    <n v="1"/>
    <n v="32"/>
    <n v="1"/>
  </r>
  <r>
    <s v="amazon_sales_jan_2025.csv"/>
    <x v="2"/>
    <s v="A-556601"/>
    <x v="28"/>
    <x v="9"/>
    <s v="hamdan.sultan@gmail.com"/>
    <s v="SKU2201"/>
    <n v="2"/>
    <n v="349"/>
    <n v="0"/>
    <s v="Completed"/>
    <x v="4"/>
    <x v="1"/>
    <d v="2023-08-30T00:00:00"/>
    <x v="2"/>
    <x v="0"/>
    <s v="Accessories"/>
    <n v="165"/>
    <n v="698"/>
    <n v="368"/>
    <n v="52.722063037249278"/>
    <s v="January"/>
    <n v="1"/>
    <n v="46"/>
    <n v="1"/>
  </r>
  <r>
    <s v="amazon_sales_jan_2025.csv"/>
    <x v="2"/>
    <s v="A-556602"/>
    <x v="29"/>
    <x v="0"/>
    <s v="ahmed.almarzouqi@gmail.com"/>
    <s v="SKU1105"/>
    <n v="1"/>
    <n v="899"/>
    <n v="0"/>
    <s v="Completed"/>
    <x v="0"/>
    <x v="0"/>
    <d v="2022-03-15T00:00:00"/>
    <x v="4"/>
    <x v="2"/>
    <s v="Cleaning"/>
    <n v="520"/>
    <n v="899"/>
    <n v="379"/>
    <n v="42.157953281423808"/>
    <s v="January"/>
    <n v="1"/>
    <n v="52"/>
    <n v="1"/>
  </r>
  <r>
    <s v="amazon_sales_jan_2025.csv"/>
    <x v="2"/>
    <s v="A-556603"/>
    <x v="29"/>
    <x v="7"/>
    <s v="guest@amazon.com"/>
    <s v="SKU3302"/>
    <n v="2"/>
    <n v="45"/>
    <n v="4.5"/>
    <s v="Completed"/>
    <x v="2"/>
    <x v="3"/>
    <m/>
    <x v="10"/>
    <x v="1"/>
    <s v="Organisation"/>
    <n v="18"/>
    <n v="85.5"/>
    <n v="49.5"/>
    <n v="57.894736842105267"/>
    <s v="January"/>
    <n v="1"/>
    <m/>
    <m/>
  </r>
  <r>
    <s v="amazon_sales_jan_2025.csv"/>
    <x v="2"/>
    <s v="A-556604"/>
    <x v="30"/>
    <x v="18"/>
    <s v="meera.chandran@gmail.com"/>
    <s v="SKU4401"/>
    <n v="1"/>
    <n v="1299"/>
    <n v="130"/>
    <s v="Completed"/>
    <x v="0"/>
    <x v="2"/>
    <d v="2025-01-08T00:00:00"/>
    <x v="0"/>
    <x v="0"/>
    <s v="TVs"/>
    <n v="820"/>
    <n v="1169"/>
    <n v="349"/>
    <n v="29.854576561163388"/>
    <s v="January"/>
    <n v="1"/>
    <n v="20"/>
    <n v="1"/>
  </r>
  <r>
    <s v="amazon_sales_jan_2025.csv"/>
    <x v="2"/>
    <s v="A-556605"/>
    <x v="31"/>
    <x v="5"/>
    <s v="omar.farooq@gmail.com"/>
    <s v="SKU2205"/>
    <n v="1"/>
    <n v="529"/>
    <n v="0"/>
    <s v="Completed"/>
    <x v="0"/>
    <x v="1"/>
    <d v="2022-11-18T00:00:00"/>
    <x v="9"/>
    <x v="0"/>
    <s v="Audio"/>
    <n v="260"/>
    <n v="529"/>
    <n v="269"/>
    <n v="50.850661625708881"/>
    <s v="January"/>
    <n v="1"/>
    <n v="32"/>
    <n v="1"/>
  </r>
  <r>
    <s v="amazon_sales_jan_2025.csv"/>
    <x v="2"/>
    <s v="A-556606"/>
    <x v="31"/>
    <x v="8"/>
    <s v="layla.nasser@gmail.com"/>
    <s v="SKU1101"/>
    <n v="3"/>
    <n v="199"/>
    <n v="30"/>
    <s v="Completed"/>
    <x v="3"/>
    <x v="1"/>
    <d v="2023-01-05T00:00:00"/>
    <x v="8"/>
    <x v="2"/>
    <s v="Kitchen"/>
    <n v="95"/>
    <n v="567"/>
    <n v="282"/>
    <n v="49.735449735449734"/>
    <s v="January"/>
    <n v="1"/>
    <n v="35"/>
    <n v="1"/>
  </r>
  <r>
    <s v="amazon_sales_jan_2025.csv"/>
    <x v="2"/>
    <s v="A-556607"/>
    <x v="32"/>
    <x v="7"/>
    <s v="guest@amazon.com"/>
    <s v="SKU3305"/>
    <n v="2"/>
    <n v="29"/>
    <n v="0"/>
    <s v="Completed"/>
    <x v="2"/>
    <x v="3"/>
    <m/>
    <x v="11"/>
    <x v="1"/>
    <s v="Cleaning"/>
    <n v="11"/>
    <n v="58"/>
    <n v="36"/>
    <n v="62.068965517241381"/>
    <s v="January"/>
    <n v="1"/>
    <m/>
    <m/>
  </r>
  <r>
    <s v="amazon_sales_jan_2025.csv"/>
    <x v="2"/>
    <s v="A-556608"/>
    <x v="33"/>
    <x v="18"/>
    <s v="meera.chandran@gmail.com"/>
    <s v="SKU4403"/>
    <n v="1"/>
    <n v="749"/>
    <n v="75"/>
    <s v="Completed"/>
    <x v="0"/>
    <x v="2"/>
    <d v="2025-01-08T00:00:00"/>
    <x v="6"/>
    <x v="0"/>
    <s v="Tablets"/>
    <n v="490"/>
    <n v="674"/>
    <n v="184"/>
    <n v="27.299703264094955"/>
    <s v="January"/>
    <n v="1"/>
    <n v="20"/>
    <n v="1"/>
  </r>
  <r>
    <s v="amazon_sales_jan_2025.csv"/>
    <x v="2"/>
    <s v="A-556609"/>
    <x v="33"/>
    <x v="6"/>
    <s v="sara.yousuf@gmail.com"/>
    <s v="SKU2209"/>
    <n v="1"/>
    <n v="229"/>
    <n v="0"/>
    <s v="Completed"/>
    <x v="0"/>
    <x v="1"/>
    <d v="2023-04-14T00:00:00"/>
    <x v="14"/>
    <x v="0"/>
    <s v="Wearables"/>
    <n v="110"/>
    <n v="229"/>
    <n v="119"/>
    <n v="51.965065502183407"/>
    <s v="January"/>
    <n v="1"/>
    <n v="18"/>
    <n v="1"/>
  </r>
  <r>
    <s v="amazon_sales_jan_2025.csv"/>
    <x v="2"/>
    <s v="A-556610"/>
    <x v="34"/>
    <x v="9"/>
    <s v="hamdan.sultan@gmail.com"/>
    <s v="SKU1103"/>
    <n v="1"/>
    <n v="459"/>
    <n v="46"/>
    <s v="Completed"/>
    <x v="4"/>
    <x v="1"/>
    <d v="2023-08-30T00:00:00"/>
    <x v="7"/>
    <x v="2"/>
    <s v="Kitchen"/>
    <n v="210"/>
    <n v="413"/>
    <n v="203"/>
    <n v="49.152542372881356"/>
    <s v="January"/>
    <n v="1"/>
    <n v="46"/>
    <n v="1"/>
  </r>
  <r>
    <s v="amazon_sales_jan_2025.csv"/>
    <x v="2"/>
    <s v="A-556611"/>
    <x v="34"/>
    <x v="7"/>
    <s v="guest@amazon.com"/>
    <s v="SKU3301"/>
    <n v="6"/>
    <n v="19"/>
    <n v="0"/>
    <s v="Completed"/>
    <x v="2"/>
    <x v="3"/>
    <m/>
    <x v="1"/>
    <x v="1"/>
    <s v="Cleaning"/>
    <n v="8"/>
    <n v="114"/>
    <n v="66"/>
    <n v="57.894736842105267"/>
    <s v="January"/>
    <n v="1"/>
    <m/>
    <m/>
  </r>
  <r>
    <s v="amazon_sales_jan_2025.csv"/>
    <x v="2"/>
    <s v="A-556612"/>
    <x v="35"/>
    <x v="0"/>
    <s v="ahmed.almarzouqi@gmail.com"/>
    <s v="SKU4402"/>
    <n v="1"/>
    <n v="599"/>
    <n v="0"/>
    <s v="Completed"/>
    <x v="0"/>
    <x v="0"/>
    <d v="2022-03-15T00:00:00"/>
    <x v="12"/>
    <x v="0"/>
    <s v="Audio"/>
    <n v="350"/>
    <n v="599"/>
    <n v="249"/>
    <n v="41.569282136894827"/>
    <s v="January"/>
    <n v="1"/>
    <n v="52"/>
    <n v="1"/>
  </r>
  <r>
    <s v="amazon_sales_jan_2025.csv"/>
    <x v="2"/>
    <s v="A-556613"/>
    <x v="36"/>
    <x v="5"/>
    <s v="omar.farooq@gmail.com"/>
    <s v="SKU1106"/>
    <n v="1"/>
    <n v="1099"/>
    <n v="110"/>
    <s v="Completed"/>
    <x v="0"/>
    <x v="1"/>
    <d v="2022-11-18T00:00:00"/>
    <x v="3"/>
    <x v="2"/>
    <s v="Cleaning"/>
    <n v="650"/>
    <n v="989"/>
    <n v="339"/>
    <n v="34.277047522750252"/>
    <s v="January"/>
    <n v="1"/>
    <n v="32"/>
    <n v="1"/>
  </r>
  <r>
    <s v="amazon_sales_jan_2025.csv"/>
    <x v="2"/>
    <s v="A-556614"/>
    <x v="36"/>
    <x v="3"/>
    <s v="khalid.alblooshi@gmail.com"/>
    <s v="SKU2201"/>
    <n v="2"/>
    <n v="349"/>
    <n v="34.9"/>
    <s v="Completed"/>
    <x v="0"/>
    <x v="0"/>
    <d v="2023-01-22T00:00:00"/>
    <x v="2"/>
    <x v="0"/>
    <s v="Accessories"/>
    <n v="165"/>
    <n v="663.1"/>
    <n v="333.1"/>
    <n v="50.233750565525561"/>
    <s v="January"/>
    <n v="1"/>
    <n v="32"/>
    <n v="1"/>
  </r>
  <r>
    <s v="amazon_sales_jan_2025.csv"/>
    <x v="2"/>
    <s v="A-556615"/>
    <x v="37"/>
    <x v="7"/>
    <s v="guest@amazon.com"/>
    <s v="SKU3308"/>
    <n v="1"/>
    <n v="89"/>
    <n v="0"/>
    <s v="Completed"/>
    <x v="2"/>
    <x v="3"/>
    <m/>
    <x v="15"/>
    <x v="1"/>
    <s v="Fragrance"/>
    <n v="42"/>
    <n v="89"/>
    <n v="47"/>
    <n v="52.80898876404494"/>
    <s v="January"/>
    <n v="1"/>
    <m/>
    <m/>
  </r>
  <r>
    <s v="amazon_sales_jan_2025.csv"/>
    <x v="2"/>
    <s v="A-556617"/>
    <x v="38"/>
    <x v="8"/>
    <s v="layla.nasser@gmail.com"/>
    <s v="SKU1101"/>
    <n v="2"/>
    <n v="199"/>
    <n v="20"/>
    <s v="Completed"/>
    <x v="3"/>
    <x v="1"/>
    <d v="2023-01-05T00:00:00"/>
    <x v="8"/>
    <x v="2"/>
    <s v="Kitchen"/>
    <n v="95"/>
    <n v="378"/>
    <n v="188"/>
    <n v="49.735449735449734"/>
    <s v="January"/>
    <n v="1"/>
    <n v="35"/>
    <n v="1"/>
  </r>
  <r>
    <s v="amazon_sales_jan_2025.csv"/>
    <x v="2"/>
    <s v="A-556618"/>
    <x v="39"/>
    <x v="6"/>
    <s v="sara.yousuf@gmail.com"/>
    <s v="SKU2210"/>
    <n v="1"/>
    <n v="189"/>
    <n v="0"/>
    <s v="Completed"/>
    <x v="0"/>
    <x v="1"/>
    <d v="2023-04-14T00:00:00"/>
    <x v="5"/>
    <x v="0"/>
    <s v="Wearables"/>
    <n v="95"/>
    <n v="189"/>
    <n v="94"/>
    <n v="49.735449735449734"/>
    <s v="January"/>
    <n v="1"/>
    <n v="18"/>
    <n v="1"/>
  </r>
  <r>
    <s v="amazon_sales_jan_2025.csv"/>
    <x v="2"/>
    <s v="A-556619"/>
    <x v="39"/>
    <x v="7"/>
    <s v="guest@amazon.com"/>
    <s v="SKU3302"/>
    <n v="3"/>
    <n v="45"/>
    <n v="0"/>
    <s v="Completed"/>
    <x v="2"/>
    <x v="3"/>
    <m/>
    <x v="10"/>
    <x v="1"/>
    <s v="Organisation"/>
    <n v="18"/>
    <n v="135"/>
    <n v="81"/>
    <n v="60"/>
    <s v="January"/>
    <n v="1"/>
    <m/>
    <m/>
  </r>
  <r>
    <s v="amazon_sales_jan_2025.csv"/>
    <x v="2"/>
    <s v="A-556620"/>
    <x v="40"/>
    <x v="9"/>
    <s v="hamdan.sultan@gmail.com"/>
    <s v="SKU4401"/>
    <n v="1"/>
    <n v="1299"/>
    <n v="0"/>
    <s v="Completed"/>
    <x v="4"/>
    <x v="1"/>
    <d v="2023-08-30T00:00:00"/>
    <x v="0"/>
    <x v="0"/>
    <s v="TVs"/>
    <n v="820"/>
    <n v="1299"/>
    <n v="479"/>
    <n v="36.87451886066205"/>
    <s v="January"/>
    <n v="1"/>
    <n v="46"/>
    <n v="1"/>
  </r>
  <r>
    <s v="amazon_sales_jan_2025.csv"/>
    <x v="2"/>
    <s v="A-556621"/>
    <x v="41"/>
    <x v="0"/>
    <s v="ahmed.almarzouqi@gmail.com"/>
    <s v="SKU1105"/>
    <n v="2"/>
    <n v="899"/>
    <n v="90"/>
    <s v="Completed"/>
    <x v="0"/>
    <x v="0"/>
    <d v="2022-03-15T00:00:00"/>
    <x v="4"/>
    <x v="2"/>
    <s v="Cleaning"/>
    <n v="520"/>
    <n v="1708"/>
    <n v="668"/>
    <n v="39.110070257611241"/>
    <s v="January"/>
    <n v="1"/>
    <n v="52"/>
    <n v="1"/>
  </r>
  <r>
    <s v="amazon_sales_jan_2025.csv"/>
    <x v="2"/>
    <s v="A-556623"/>
    <x v="42"/>
    <x v="7"/>
    <s v="guest@amazon.com"/>
    <s v="SKU3305"/>
    <n v="4"/>
    <n v="29"/>
    <n v="0"/>
    <s v="Completed"/>
    <x v="2"/>
    <x v="3"/>
    <m/>
    <x v="11"/>
    <x v="1"/>
    <s v="Cleaning"/>
    <n v="11"/>
    <n v="116"/>
    <n v="72"/>
    <n v="62.068965517241381"/>
    <s v="January"/>
    <n v="1"/>
    <m/>
    <m/>
  </r>
  <r>
    <s v="amazon_sales_jan_2025.csv"/>
    <x v="2"/>
    <s v="A-556624"/>
    <x v="43"/>
    <x v="18"/>
    <s v="meera.chandran@gmail.com"/>
    <s v="SKU4403"/>
    <n v="2"/>
    <n v="749"/>
    <n v="75"/>
    <s v="Completed"/>
    <x v="0"/>
    <x v="2"/>
    <d v="2025-01-08T00:00:00"/>
    <x v="6"/>
    <x v="0"/>
    <s v="Tablets"/>
    <n v="490"/>
    <n v="1423"/>
    <n v="443"/>
    <n v="31.131412508784255"/>
    <s v="January"/>
    <n v="1"/>
    <n v="20"/>
    <n v="1"/>
  </r>
  <r>
    <s v="amazon_sales_jan_2025.csv"/>
    <x v="2"/>
    <s v="A-556625"/>
    <x v="44"/>
    <x v="5"/>
    <s v="omar.farooq@gmail.com"/>
    <s v="SKU1103"/>
    <n v="1"/>
    <n v="459"/>
    <n v="0"/>
    <s v="Completed"/>
    <x v="0"/>
    <x v="1"/>
    <d v="2022-11-18T00:00:00"/>
    <x v="7"/>
    <x v="2"/>
    <s v="Kitchen"/>
    <n v="210"/>
    <n v="459"/>
    <n v="249"/>
    <n v="54.248366013071895"/>
    <s v="January"/>
    <n v="1"/>
    <n v="32"/>
    <n v="1"/>
  </r>
  <r>
    <s v="amazon_sales_jan_2025.csv"/>
    <x v="2"/>
    <s v="A-556626"/>
    <x v="44"/>
    <x v="8"/>
    <s v="layla.nasser@gmail.com"/>
    <s v="SKU2209"/>
    <n v="1"/>
    <n v="229"/>
    <n v="22.9"/>
    <s v="Completed"/>
    <x v="3"/>
    <x v="1"/>
    <d v="2023-01-05T00:00:00"/>
    <x v="14"/>
    <x v="0"/>
    <s v="Wearables"/>
    <n v="110"/>
    <n v="206.1"/>
    <n v="96.1"/>
    <n v="46.62785055798156"/>
    <s v="January"/>
    <n v="1"/>
    <n v="35"/>
    <n v="1"/>
  </r>
  <r>
    <s v="amazon_sales_jan_2025.csv"/>
    <x v="2"/>
    <s v="A-556627"/>
    <x v="45"/>
    <x v="7"/>
    <s v="guest@amazon.com"/>
    <s v="SKU3301"/>
    <n v="3"/>
    <n v="19"/>
    <n v="0"/>
    <s v="Completed"/>
    <x v="2"/>
    <x v="3"/>
    <m/>
    <x v="1"/>
    <x v="1"/>
    <s v="Cleaning"/>
    <n v="8"/>
    <n v="57"/>
    <n v="33"/>
    <n v="57.894736842105267"/>
    <s v="January"/>
    <n v="1"/>
    <m/>
    <m/>
  </r>
  <r>
    <s v="amazon_sales_jan_2025.csv"/>
    <x v="2"/>
    <s v="A-556628"/>
    <x v="46"/>
    <x v="6"/>
    <s v="sara.yousuf@gmail.com"/>
    <s v="SKU4402"/>
    <n v="1"/>
    <n v="599"/>
    <n v="60"/>
    <s v="Completed"/>
    <x v="0"/>
    <x v="1"/>
    <d v="2023-04-14T00:00:00"/>
    <x v="12"/>
    <x v="0"/>
    <s v="Audio"/>
    <n v="350"/>
    <n v="539"/>
    <n v="189"/>
    <n v="35.064935064935064"/>
    <s v="January"/>
    <n v="1"/>
    <n v="18"/>
    <n v="1"/>
  </r>
  <r>
    <s v="amazon_sales_jan_2025.csv"/>
    <x v="2"/>
    <s v="A-556629"/>
    <x v="47"/>
    <x v="9"/>
    <s v="hamdan.sultan@gmail.com"/>
    <s v="SKU1106"/>
    <n v="1"/>
    <n v="1099"/>
    <n v="0"/>
    <s v="Completed"/>
    <x v="4"/>
    <x v="1"/>
    <d v="2023-08-30T00:00:00"/>
    <x v="3"/>
    <x v="2"/>
    <s v="Cleaning"/>
    <n v="650"/>
    <n v="1099"/>
    <n v="449"/>
    <n v="40.855323020928111"/>
    <s v="January"/>
    <n v="1"/>
    <n v="46"/>
    <n v="1"/>
  </r>
  <r>
    <s v="amazon_sales_jan_2025.csv"/>
    <x v="2"/>
    <s v="A-556630"/>
    <x v="47"/>
    <x v="7"/>
    <s v="guest@amazon.com"/>
    <s v="SKU2201"/>
    <n v="1"/>
    <n v="349"/>
    <n v="0"/>
    <s v="Completed"/>
    <x v="2"/>
    <x v="3"/>
    <m/>
    <x v="2"/>
    <x v="0"/>
    <s v="Accessories"/>
    <n v="165"/>
    <n v="349"/>
    <n v="184"/>
    <n v="52.722063037249278"/>
    <s v="January"/>
    <n v="1"/>
    <m/>
    <m/>
  </r>
  <r>
    <s v="amazon_sales_jan_2025.csv"/>
    <x v="2"/>
    <s v="A-556631"/>
    <x v="48"/>
    <x v="0"/>
    <s v="ahmed.almarzouqi@gmail.com"/>
    <s v="SKU3308"/>
    <n v="2"/>
    <n v="89"/>
    <n v="8.9"/>
    <s v="Completed"/>
    <x v="0"/>
    <x v="0"/>
    <d v="2022-03-15T00:00:00"/>
    <x v="15"/>
    <x v="1"/>
    <s v="Fragrance"/>
    <n v="42"/>
    <n v="169.1"/>
    <n v="85.1"/>
    <n v="50.325251330573629"/>
    <s v="January"/>
    <n v="1"/>
    <n v="52"/>
    <n v="1"/>
  </r>
  <r>
    <s v="amazon_sales_jan_2025.csv"/>
    <x v="2"/>
    <s v="A-556632"/>
    <x v="49"/>
    <x v="3"/>
    <s v="khalid.alblooshi@gmail.com"/>
    <s v="SKU4404"/>
    <n v="1"/>
    <n v="2199"/>
    <n v="220"/>
    <s v="Completed"/>
    <x v="0"/>
    <x v="0"/>
    <d v="2023-01-22T00:00:00"/>
    <x v="13"/>
    <x v="0"/>
    <s v="TVs"/>
    <n v="1380"/>
    <n v="1979"/>
    <n v="599"/>
    <n v="30.267812026275898"/>
    <s v="January"/>
    <n v="1"/>
    <n v="32"/>
    <n v="1"/>
  </r>
  <r>
    <s v="amazon_sales_jan_2025.csv"/>
    <x v="2"/>
    <s v="A-556633"/>
    <x v="49"/>
    <x v="18"/>
    <s v="meera.chandran@gmail.com"/>
    <s v="SKU1101"/>
    <n v="2"/>
    <n v="199"/>
    <n v="0"/>
    <s v="Completed"/>
    <x v="0"/>
    <x v="2"/>
    <d v="2025-01-08T00:00:00"/>
    <x v="8"/>
    <x v="2"/>
    <s v="Kitchen"/>
    <n v="95"/>
    <n v="398"/>
    <n v="208"/>
    <n v="52.261306532663319"/>
    <s v="January"/>
    <n v="1"/>
    <n v="20"/>
    <n v="1"/>
  </r>
  <r>
    <s v="amazon_sales_jan_2025.csv"/>
    <x v="2"/>
    <s v="A-556634"/>
    <x v="50"/>
    <x v="7"/>
    <s v="guest@amazon.com"/>
    <s v="SKU2210"/>
    <n v="1"/>
    <n v="189"/>
    <n v="19"/>
    <s v="Completed"/>
    <x v="2"/>
    <x v="3"/>
    <m/>
    <x v="5"/>
    <x v="0"/>
    <s v="Wearables"/>
    <n v="95"/>
    <n v="170"/>
    <n v="75"/>
    <n v="44.117647058823529"/>
    <s v="January"/>
    <n v="1"/>
    <m/>
    <m/>
  </r>
  <r>
    <s v="amazon_sales_jan_2025.csv"/>
    <x v="2"/>
    <s v="A-556635"/>
    <x v="51"/>
    <x v="8"/>
    <s v="layla.nasser@gmail.com"/>
    <s v="SKU3302"/>
    <n v="3"/>
    <n v="45"/>
    <n v="0"/>
    <s v="Completed"/>
    <x v="3"/>
    <x v="1"/>
    <d v="2023-01-05T00:00:00"/>
    <x v="10"/>
    <x v="1"/>
    <s v="Organisation"/>
    <n v="18"/>
    <n v="135"/>
    <n v="81"/>
    <n v="60"/>
    <s v="January"/>
    <n v="1"/>
    <n v="35"/>
    <n v="1"/>
  </r>
  <r>
    <s v="amazon_sales_jan_2025.csv"/>
    <x v="2"/>
    <s v="A-556636"/>
    <x v="51"/>
    <x v="5"/>
    <s v="omar.farooq@gmail.com"/>
    <s v="SKU4401"/>
    <n v="1"/>
    <n v="1299"/>
    <n v="130"/>
    <s v="Completed"/>
    <x v="0"/>
    <x v="1"/>
    <d v="2022-11-18T00:00:00"/>
    <x v="0"/>
    <x v="0"/>
    <s v="TVs"/>
    <n v="820"/>
    <n v="1169"/>
    <n v="349"/>
    <n v="29.854576561163388"/>
    <s v="January"/>
    <n v="1"/>
    <n v="32"/>
    <n v="1"/>
  </r>
  <r>
    <s v="amazon_sales_jan_2025.csv"/>
    <x v="2"/>
    <s v="A-556637"/>
    <x v="52"/>
    <x v="6"/>
    <s v="sara.yousuf@gmail.com"/>
    <s v="SKU1105"/>
    <n v="1"/>
    <n v="899"/>
    <n v="0"/>
    <s v="Completed"/>
    <x v="0"/>
    <x v="1"/>
    <d v="2023-04-14T00:00:00"/>
    <x v="4"/>
    <x v="2"/>
    <s v="Cleaning"/>
    <n v="520"/>
    <n v="899"/>
    <n v="379"/>
    <n v="42.157953281423808"/>
    <s v="January"/>
    <n v="1"/>
    <n v="18"/>
    <n v="1"/>
  </r>
  <r>
    <s v="amazon_sales_jan_2025.csv"/>
    <x v="2"/>
    <s v="A-556638"/>
    <x v="53"/>
    <x v="7"/>
    <s v="guest@amazon.com"/>
    <s v="SKU2205"/>
    <n v="2"/>
    <n v="529"/>
    <n v="0"/>
    <s v="Completed"/>
    <x v="2"/>
    <x v="3"/>
    <m/>
    <x v="9"/>
    <x v="0"/>
    <s v="Audio"/>
    <n v="260"/>
    <n v="1058"/>
    <n v="538"/>
    <n v="50.850661625708881"/>
    <s v="January"/>
    <n v="1"/>
    <m/>
    <m/>
  </r>
  <r>
    <s v="amazon_sales_jan_2025.csv"/>
    <x v="2"/>
    <s v="A-556639"/>
    <x v="53"/>
    <x v="9"/>
    <s v="hamdan.sultan@gmail.com"/>
    <s v="SKU3305"/>
    <n v="5"/>
    <n v="29"/>
    <n v="0"/>
    <s v="Completed"/>
    <x v="4"/>
    <x v="1"/>
    <d v="2023-08-30T00:00:00"/>
    <x v="11"/>
    <x v="1"/>
    <s v="Cleaning"/>
    <n v="11"/>
    <n v="145"/>
    <n v="90"/>
    <n v="62.068965517241381"/>
    <s v="January"/>
    <n v="1"/>
    <n v="46"/>
    <n v="1"/>
  </r>
  <r>
    <s v="amazon_sales_jan_2025.csv"/>
    <x v="2"/>
    <s v="A-556640"/>
    <x v="54"/>
    <x v="0"/>
    <s v="ahmed.almarzouqi@gmail.com"/>
    <s v="SKU4402"/>
    <n v="1"/>
    <n v="599"/>
    <n v="59.9"/>
    <s v="Completed"/>
    <x v="0"/>
    <x v="0"/>
    <d v="2022-03-15T00:00:00"/>
    <x v="12"/>
    <x v="0"/>
    <s v="Audio"/>
    <n v="350"/>
    <n v="539.1"/>
    <n v="189.10000000000002"/>
    <n v="35.076980152105364"/>
    <s v="January"/>
    <n v="1"/>
    <n v="52"/>
    <n v="1"/>
  </r>
  <r>
    <s v="amazon_sales_jan_2025.csv"/>
    <x v="2"/>
    <s v="A-556641"/>
    <x v="54"/>
    <x v="3"/>
    <s v="khalid.alblooshi@gmail.com"/>
    <s v="SKU1103"/>
    <n v="1"/>
    <n v="459"/>
    <n v="46"/>
    <s v="Completed"/>
    <x v="0"/>
    <x v="0"/>
    <d v="2023-01-22T00:00:00"/>
    <x v="7"/>
    <x v="2"/>
    <s v="Kitchen"/>
    <n v="210"/>
    <n v="413"/>
    <n v="203"/>
    <n v="49.152542372881356"/>
    <s v="January"/>
    <n v="1"/>
    <n v="32"/>
    <n v="1"/>
  </r>
  <r>
    <s v="amazon_sales_jan_2025.csv"/>
    <x v="2"/>
    <s v="A-556642"/>
    <x v="55"/>
    <x v="7"/>
    <s v="guest@amazon.com"/>
    <s v="SKU3301"/>
    <n v="4"/>
    <n v="19"/>
    <n v="0"/>
    <s v="Completed"/>
    <x v="2"/>
    <x v="3"/>
    <m/>
    <x v="1"/>
    <x v="1"/>
    <s v="Cleaning"/>
    <n v="8"/>
    <n v="76"/>
    <n v="44"/>
    <n v="57.894736842105267"/>
    <s v="January"/>
    <n v="1"/>
    <m/>
    <m/>
  </r>
  <r>
    <s v="amazon_sales_jan_2025.csv"/>
    <x v="2"/>
    <s v="A-556643"/>
    <x v="56"/>
    <x v="18"/>
    <s v="meera.chandran@gmail.com"/>
    <s v="SKU2209"/>
    <n v="1"/>
    <n v="229"/>
    <n v="0"/>
    <s v="Completed"/>
    <x v="0"/>
    <x v="2"/>
    <d v="2025-01-08T00:00:00"/>
    <x v="14"/>
    <x v="0"/>
    <s v="Wearables"/>
    <n v="110"/>
    <n v="229"/>
    <n v="119"/>
    <n v="51.965065502183407"/>
    <s v="January"/>
    <n v="1"/>
    <n v="20"/>
    <n v="1"/>
  </r>
  <r>
    <s v="amazon_sales_jan_2025.csv"/>
    <x v="2"/>
    <s v="A-556644"/>
    <x v="56"/>
    <x v="8"/>
    <s v="layla.nasser@gmail.com"/>
    <s v="SKU4403"/>
    <n v="1"/>
    <n v="749"/>
    <n v="74.900000000000006"/>
    <s v="Completed"/>
    <x v="3"/>
    <x v="1"/>
    <d v="2023-01-05T00:00:00"/>
    <x v="6"/>
    <x v="0"/>
    <s v="Tablets"/>
    <n v="490"/>
    <n v="674.1"/>
    <n v="184.10000000000002"/>
    <n v="27.310488058151609"/>
    <s v="January"/>
    <n v="1"/>
    <n v="35"/>
    <n v="1"/>
  </r>
  <r>
    <s v="amazon_sales_jan_2025.csv"/>
    <x v="2"/>
    <s v="A-556645"/>
    <x v="57"/>
    <x v="5"/>
    <s v="omar.farooq@gmail.com"/>
    <s v="SKU3308"/>
    <n v="2"/>
    <n v="89"/>
    <n v="0"/>
    <s v="Completed"/>
    <x v="0"/>
    <x v="1"/>
    <d v="2022-11-18T00:00:00"/>
    <x v="15"/>
    <x v="1"/>
    <s v="Fragrance"/>
    <n v="42"/>
    <n v="178"/>
    <n v="94"/>
    <n v="52.80898876404494"/>
    <s v="January"/>
    <n v="1"/>
    <n v="32"/>
    <n v="1"/>
  </r>
  <r>
    <s v="amazon_sales_jan_2025.csv"/>
    <x v="2"/>
    <s v="A-556646"/>
    <x v="57"/>
    <x v="6"/>
    <s v="sara.yousuf@gmail.com"/>
    <s v="SKU1106"/>
    <n v="1"/>
    <n v="1099"/>
    <n v="110"/>
    <s v="Completed"/>
    <x v="0"/>
    <x v="1"/>
    <d v="2023-04-14T00:00:00"/>
    <x v="3"/>
    <x v="2"/>
    <s v="Cleaning"/>
    <n v="650"/>
    <n v="989"/>
    <n v="339"/>
    <n v="34.277047522750252"/>
    <s v="January"/>
    <n v="1"/>
    <n v="18"/>
    <n v="1"/>
  </r>
  <r>
    <s v="amazon_sales_jan_2025.csv"/>
    <x v="2"/>
    <s v="A-556647"/>
    <x v="58"/>
    <x v="7"/>
    <s v="guest@amazon.com"/>
    <s v="SKU2201"/>
    <n v="2"/>
    <n v="349"/>
    <n v="35"/>
    <s v="Completed"/>
    <x v="2"/>
    <x v="3"/>
    <m/>
    <x v="2"/>
    <x v="0"/>
    <s v="Accessories"/>
    <n v="165"/>
    <n v="663"/>
    <n v="333"/>
    <n v="50.226244343891402"/>
    <s v="January"/>
    <n v="1"/>
    <m/>
    <m/>
  </r>
  <r>
    <s v="amazon_sales_jan_2025.csv"/>
    <x v="2"/>
    <s v="A-556648"/>
    <x v="58"/>
    <x v="9"/>
    <s v="hamdan.sultan@gmail.com"/>
    <s v="SKU4404"/>
    <n v="1"/>
    <n v="2199"/>
    <n v="0"/>
    <s v="Completed"/>
    <x v="4"/>
    <x v="1"/>
    <d v="2023-08-30T00:00:00"/>
    <x v="13"/>
    <x v="0"/>
    <s v="TVs"/>
    <n v="1380"/>
    <n v="2199"/>
    <n v="819"/>
    <n v="37.244201909959074"/>
    <s v="January"/>
    <n v="1"/>
    <n v="46"/>
    <n v="1"/>
  </r>
  <r>
    <s v="amazon_sales_mar_2025.csv"/>
    <x v="2"/>
    <s v="A-556705"/>
    <x v="59"/>
    <x v="9"/>
    <s v="hamdan.sultan@gmail.com"/>
    <s v="SKU2201"/>
    <n v="2"/>
    <n v="349"/>
    <n v="34.9"/>
    <s v="Completed"/>
    <x v="4"/>
    <x v="1"/>
    <d v="2023-08-30T00:00:00"/>
    <x v="2"/>
    <x v="0"/>
    <s v="Accessories"/>
    <n v="165"/>
    <n v="663.1"/>
    <n v="333.1"/>
    <n v="50.233750565525561"/>
    <s v="March"/>
    <n v="1"/>
    <n v="46"/>
    <n v="1"/>
  </r>
  <r>
    <s v="amazon_sales_mar_2025.csv"/>
    <x v="2"/>
    <s v="A-556706"/>
    <x v="59"/>
    <x v="18"/>
    <s v="meera.chandran@gmail.com"/>
    <s v="SKU1105"/>
    <n v="1"/>
    <n v="899"/>
    <n v="90"/>
    <s v="Completed"/>
    <x v="0"/>
    <x v="2"/>
    <d v="2025-01-08T00:00:00"/>
    <x v="4"/>
    <x v="2"/>
    <s v="Cleaning"/>
    <n v="520"/>
    <n v="809"/>
    <n v="289"/>
    <n v="35.723114956736715"/>
    <s v="March"/>
    <n v="1"/>
    <n v="20"/>
    <n v="1"/>
  </r>
  <r>
    <s v="amazon_sales_mar_2025.csv"/>
    <x v="2"/>
    <s v="A-556707"/>
    <x v="60"/>
    <x v="7"/>
    <s v="guest@amazon.com"/>
    <s v="SKU3302"/>
    <n v="3"/>
    <n v="45"/>
    <n v="0"/>
    <s v="Completed"/>
    <x v="2"/>
    <x v="3"/>
    <m/>
    <x v="10"/>
    <x v="1"/>
    <s v="Organisation"/>
    <n v="18"/>
    <n v="135"/>
    <n v="81"/>
    <n v="60"/>
    <s v="March"/>
    <n v="1"/>
    <m/>
    <m/>
  </r>
  <r>
    <s v="amazon_sales_mar_2025.csv"/>
    <x v="2"/>
    <s v="A-556708"/>
    <x v="60"/>
    <x v="19"/>
    <s v="robert.james@gmail.com"/>
    <s v="SKU4401"/>
    <n v="1"/>
    <n v="1299"/>
    <n v="130"/>
    <s v="Completed"/>
    <x v="2"/>
    <x v="3"/>
    <m/>
    <x v="0"/>
    <x v="0"/>
    <s v="TVs"/>
    <n v="820"/>
    <n v="1169"/>
    <n v="349"/>
    <n v="29.854576561163388"/>
    <s v="March"/>
    <n v="1"/>
    <n v="9"/>
    <n v="1"/>
  </r>
  <r>
    <s v="amazon_sales_mar_2025.csv"/>
    <x v="2"/>
    <s v="A-556709"/>
    <x v="61"/>
    <x v="5"/>
    <s v="omar.farooq@gmail.com"/>
    <s v="SKU2205"/>
    <n v="2"/>
    <n v="529"/>
    <n v="53"/>
    <s v="Completed"/>
    <x v="0"/>
    <x v="1"/>
    <d v="2022-11-18T00:00:00"/>
    <x v="9"/>
    <x v="0"/>
    <s v="Audio"/>
    <n v="260"/>
    <n v="1005"/>
    <n v="485"/>
    <n v="48.258706467661696"/>
    <s v="March"/>
    <n v="1"/>
    <n v="32"/>
    <n v="1"/>
  </r>
  <r>
    <s v="amazon_sales_mar_2025.csv"/>
    <x v="2"/>
    <s v="A-556710"/>
    <x v="61"/>
    <x v="8"/>
    <s v="layla.nasser@gmail.com"/>
    <s v="SKU1101"/>
    <n v="2"/>
    <n v="199"/>
    <n v="20"/>
    <s v="Completed"/>
    <x v="3"/>
    <x v="1"/>
    <d v="2023-01-05T00:00:00"/>
    <x v="8"/>
    <x v="2"/>
    <s v="Kitchen"/>
    <n v="95"/>
    <n v="378"/>
    <n v="188"/>
    <n v="49.735449735449734"/>
    <s v="March"/>
    <n v="1"/>
    <n v="35"/>
    <n v="1"/>
  </r>
  <r>
    <s v="amazon_sales_mar_2025.csv"/>
    <x v="2"/>
    <s v="A-556711"/>
    <x v="62"/>
    <x v="7"/>
    <s v="guest@amazon.com"/>
    <s v="SKU3305"/>
    <n v="3"/>
    <n v="29"/>
    <n v="0"/>
    <s v="Completed"/>
    <x v="2"/>
    <x v="3"/>
    <m/>
    <x v="11"/>
    <x v="1"/>
    <s v="Cleaning"/>
    <n v="11"/>
    <n v="87"/>
    <n v="54"/>
    <n v="62.068965517241381"/>
    <s v="March"/>
    <n v="1"/>
    <m/>
    <m/>
  </r>
  <r>
    <s v="amazon_sales_mar_2025.csv"/>
    <x v="2"/>
    <s v="A-556712"/>
    <x v="62"/>
    <x v="19"/>
    <s v="robert.james@gmail.com"/>
    <s v="SKU4403"/>
    <n v="1"/>
    <n v="749"/>
    <n v="75"/>
    <s v="Completed"/>
    <x v="2"/>
    <x v="3"/>
    <m/>
    <x v="6"/>
    <x v="0"/>
    <s v="Tablets"/>
    <n v="490"/>
    <n v="674"/>
    <n v="184"/>
    <n v="27.299703264094955"/>
    <s v="March"/>
    <n v="1"/>
    <n v="9"/>
    <n v="1"/>
  </r>
  <r>
    <s v="amazon_sales_mar_2025.csv"/>
    <x v="2"/>
    <s v="A-556713"/>
    <x v="63"/>
    <x v="18"/>
    <s v="meera.chandran@gmail.com"/>
    <s v="SKU2209"/>
    <n v="2"/>
    <n v="229"/>
    <n v="22.9"/>
    <s v="Completed"/>
    <x v="0"/>
    <x v="2"/>
    <d v="2025-01-08T00:00:00"/>
    <x v="14"/>
    <x v="0"/>
    <s v="Wearables"/>
    <n v="110"/>
    <n v="435.1"/>
    <n v="215.10000000000002"/>
    <n v="49.436911054929908"/>
    <s v="March"/>
    <n v="1"/>
    <n v="20"/>
    <n v="1"/>
  </r>
  <r>
    <s v="amazon_sales_mar_2025.csv"/>
    <x v="2"/>
    <s v="A-556714"/>
    <x v="63"/>
    <x v="9"/>
    <s v="hamdan.sultan@gmail.com"/>
    <s v="SKU1103"/>
    <n v="1"/>
    <n v="459"/>
    <n v="46"/>
    <s v="Completed"/>
    <x v="4"/>
    <x v="1"/>
    <d v="2023-08-30T00:00:00"/>
    <x v="7"/>
    <x v="2"/>
    <s v="Kitchen"/>
    <n v="210"/>
    <n v="413"/>
    <n v="203"/>
    <n v="49.152542372881356"/>
    <s v="March"/>
    <n v="1"/>
    <n v="46"/>
    <n v="1"/>
  </r>
  <r>
    <s v="amazon_sales_mar_2025.csv"/>
    <x v="2"/>
    <s v="A-556715"/>
    <x v="64"/>
    <x v="7"/>
    <s v="guest@amazon.com"/>
    <s v="SKU3301"/>
    <n v="4"/>
    <n v="19"/>
    <n v="0"/>
    <s v="Completed"/>
    <x v="2"/>
    <x v="3"/>
    <m/>
    <x v="1"/>
    <x v="1"/>
    <s v="Cleaning"/>
    <n v="8"/>
    <n v="76"/>
    <n v="44"/>
    <n v="57.894736842105267"/>
    <s v="March"/>
    <n v="1"/>
    <m/>
    <m/>
  </r>
  <r>
    <s v="amazon_sales_mar_2025.csv"/>
    <x v="2"/>
    <s v="A-556716"/>
    <x v="64"/>
    <x v="0"/>
    <s v="ahmed.almarzouqi@gmail.com"/>
    <s v="SKU4402"/>
    <n v="1"/>
    <n v="599"/>
    <n v="60"/>
    <s v="Completed"/>
    <x v="0"/>
    <x v="0"/>
    <d v="2022-03-15T00:00:00"/>
    <x v="12"/>
    <x v="0"/>
    <s v="Audio"/>
    <n v="350"/>
    <n v="539"/>
    <n v="189"/>
    <n v="35.064935064935064"/>
    <s v="March"/>
    <n v="1"/>
    <n v="52"/>
    <n v="1"/>
  </r>
  <r>
    <s v="amazon_sales_mar_2025.csv"/>
    <x v="2"/>
    <s v="A-556717"/>
    <x v="65"/>
    <x v="5"/>
    <s v="omar.farooq@gmail.com"/>
    <s v="SKU1106"/>
    <n v="1"/>
    <n v="1099"/>
    <n v="110"/>
    <s v="Completed"/>
    <x v="0"/>
    <x v="1"/>
    <d v="2022-11-18T00:00:00"/>
    <x v="3"/>
    <x v="2"/>
    <s v="Cleaning"/>
    <n v="650"/>
    <n v="989"/>
    <n v="339"/>
    <n v="34.277047522750252"/>
    <s v="March"/>
    <n v="1"/>
    <n v="32"/>
    <n v="1"/>
  </r>
  <r>
    <s v="amazon_sales_mar_2025.csv"/>
    <x v="2"/>
    <s v="A-556718"/>
    <x v="65"/>
    <x v="19"/>
    <s v="robert.james@gmail.com"/>
    <s v="SKU2201"/>
    <n v="2"/>
    <n v="349"/>
    <n v="34.9"/>
    <s v="Completed"/>
    <x v="2"/>
    <x v="3"/>
    <m/>
    <x v="2"/>
    <x v="0"/>
    <s v="Accessories"/>
    <n v="165"/>
    <n v="663.1"/>
    <n v="333.1"/>
    <n v="50.233750565525561"/>
    <s v="March"/>
    <n v="1"/>
    <n v="9"/>
    <n v="1"/>
  </r>
  <r>
    <s v="amazon_sales_mar_2025.csv"/>
    <x v="2"/>
    <s v="A-556719"/>
    <x v="66"/>
    <x v="7"/>
    <s v="guest@amazon.com"/>
    <s v="SKU3308"/>
    <n v="2"/>
    <n v="89"/>
    <n v="8.9"/>
    <s v="Completed"/>
    <x v="2"/>
    <x v="3"/>
    <m/>
    <x v="15"/>
    <x v="1"/>
    <s v="Fragrance"/>
    <n v="42"/>
    <n v="169.1"/>
    <n v="85.1"/>
    <n v="50.325251330573629"/>
    <s v="March"/>
    <n v="1"/>
    <m/>
    <m/>
  </r>
  <r>
    <s v="amazon_sales_mar_2025.csv"/>
    <x v="2"/>
    <s v="A-556720"/>
    <x v="66"/>
    <x v="8"/>
    <s v="layla.nasser@gmail.com"/>
    <s v="SKU4404"/>
    <n v="1"/>
    <n v="2199"/>
    <n v="220"/>
    <s v="Completed"/>
    <x v="3"/>
    <x v="1"/>
    <d v="2023-01-05T00:00:00"/>
    <x v="13"/>
    <x v="0"/>
    <s v="TVs"/>
    <n v="1380"/>
    <n v="1979"/>
    <n v="599"/>
    <n v="30.267812026275898"/>
    <s v="March"/>
    <n v="1"/>
    <n v="35"/>
    <n v="1"/>
  </r>
  <r>
    <s v="amazon_sales_mar_2025.csv"/>
    <x v="2"/>
    <s v="A-556721"/>
    <x v="67"/>
    <x v="18"/>
    <s v="meera.chandran@gmail.com"/>
    <s v="SKU1101"/>
    <n v="3"/>
    <n v="199"/>
    <n v="30"/>
    <s v="Completed"/>
    <x v="0"/>
    <x v="2"/>
    <d v="2025-01-08T00:00:00"/>
    <x v="8"/>
    <x v="2"/>
    <s v="Kitchen"/>
    <n v="95"/>
    <n v="567"/>
    <n v="282"/>
    <n v="49.735449735449734"/>
    <s v="March"/>
    <n v="1"/>
    <n v="20"/>
    <n v="1"/>
  </r>
  <r>
    <s v="amazon_sales_mar_2025.csv"/>
    <x v="2"/>
    <s v="A-556722"/>
    <x v="67"/>
    <x v="7"/>
    <s v="guest@amazon.com"/>
    <s v="SKU3302"/>
    <n v="2"/>
    <n v="45"/>
    <n v="0"/>
    <s v="Completed"/>
    <x v="2"/>
    <x v="3"/>
    <m/>
    <x v="10"/>
    <x v="1"/>
    <s v="Organisation"/>
    <n v="18"/>
    <n v="90"/>
    <n v="54"/>
    <n v="60"/>
    <s v="March"/>
    <n v="1"/>
    <m/>
    <m/>
  </r>
  <r>
    <s v="amazon_sales_mar_2025.csv"/>
    <x v="2"/>
    <s v="A-556723"/>
    <x v="68"/>
    <x v="9"/>
    <s v="hamdan.sultan@gmail.com"/>
    <s v="SKU4401"/>
    <n v="1"/>
    <n v="1299"/>
    <n v="130"/>
    <s v="Completed"/>
    <x v="4"/>
    <x v="1"/>
    <d v="2023-08-30T00:00:00"/>
    <x v="0"/>
    <x v="0"/>
    <s v="TVs"/>
    <n v="820"/>
    <n v="1169"/>
    <n v="349"/>
    <n v="29.854576561163388"/>
    <s v="March"/>
    <n v="1"/>
    <n v="46"/>
    <n v="1"/>
  </r>
  <r>
    <s v="amazon_sales_mar_2025.csv"/>
    <x v="2"/>
    <s v="A-556724"/>
    <x v="68"/>
    <x v="0"/>
    <s v="ahmed.almarzouqi@gmail.com"/>
    <s v="SKU2205"/>
    <n v="1"/>
    <n v="529"/>
    <n v="52.9"/>
    <s v="Completed"/>
    <x v="0"/>
    <x v="0"/>
    <d v="2022-03-15T00:00:00"/>
    <x v="9"/>
    <x v="0"/>
    <s v="Audio"/>
    <n v="260"/>
    <n v="476.1"/>
    <n v="216.10000000000002"/>
    <n v="45.389624028565429"/>
    <s v="March"/>
    <n v="1"/>
    <n v="52"/>
    <n v="1"/>
  </r>
  <r>
    <s v="amazon_sales_mar_2025.csv"/>
    <x v="2"/>
    <s v="A-556725"/>
    <x v="69"/>
    <x v="19"/>
    <s v="robert.james@gmail.com"/>
    <s v="SKU1105"/>
    <n v="2"/>
    <n v="899"/>
    <n v="90"/>
    <s v="Completed"/>
    <x v="2"/>
    <x v="3"/>
    <m/>
    <x v="4"/>
    <x v="2"/>
    <s v="Cleaning"/>
    <n v="520"/>
    <n v="1708"/>
    <n v="668"/>
    <n v="39.110070257611241"/>
    <s v="March"/>
    <n v="1"/>
    <n v="9"/>
    <n v="1"/>
  </r>
  <r>
    <s v="amazon_sales_mar_2025.csv"/>
    <x v="2"/>
    <s v="A-556726"/>
    <x v="69"/>
    <x v="7"/>
    <s v="guest@amazon.com"/>
    <s v="SKU3305"/>
    <n v="4"/>
    <n v="29"/>
    <n v="0"/>
    <s v="Completed"/>
    <x v="2"/>
    <x v="3"/>
    <m/>
    <x v="11"/>
    <x v="1"/>
    <s v="Cleaning"/>
    <n v="11"/>
    <n v="116"/>
    <n v="72"/>
    <n v="62.068965517241381"/>
    <s v="March"/>
    <n v="1"/>
    <m/>
    <m/>
  </r>
  <r>
    <s v="amazon_sales_mar_2025.csv"/>
    <x v="2"/>
    <s v="A-556727"/>
    <x v="70"/>
    <x v="5"/>
    <s v="omar.farooq@gmail.com"/>
    <s v="SKU4403"/>
    <n v="1"/>
    <n v="749"/>
    <n v="75"/>
    <s v="Completed"/>
    <x v="0"/>
    <x v="1"/>
    <d v="2022-11-18T00:00:00"/>
    <x v="6"/>
    <x v="0"/>
    <s v="Tablets"/>
    <n v="490"/>
    <n v="674"/>
    <n v="184"/>
    <n v="27.299703264094955"/>
    <s v="March"/>
    <n v="1"/>
    <n v="32"/>
    <n v="1"/>
  </r>
  <r>
    <s v="amazon_sales_mar_2025.csv"/>
    <x v="2"/>
    <s v="A-556728"/>
    <x v="70"/>
    <x v="8"/>
    <s v="layla.nasser@gmail.com"/>
    <s v="SKU2209"/>
    <n v="1"/>
    <n v="229"/>
    <n v="22.9"/>
    <s v="Completed"/>
    <x v="3"/>
    <x v="1"/>
    <d v="2023-01-05T00:00:00"/>
    <x v="14"/>
    <x v="0"/>
    <s v="Wearables"/>
    <n v="110"/>
    <n v="206.1"/>
    <n v="96.1"/>
    <n v="46.62785055798156"/>
    <s v="March"/>
    <n v="1"/>
    <n v="35"/>
    <n v="1"/>
  </r>
  <r>
    <s v="amazon_sales_mar_2025.csv"/>
    <x v="2"/>
    <s v="A-556729"/>
    <x v="71"/>
    <x v="7"/>
    <s v="guest@amazon.com"/>
    <s v="SKU3301"/>
    <n v="3"/>
    <n v="19"/>
    <n v="0"/>
    <s v="Completed"/>
    <x v="2"/>
    <x v="3"/>
    <m/>
    <x v="1"/>
    <x v="1"/>
    <s v="Cleaning"/>
    <n v="8"/>
    <n v="57"/>
    <n v="33"/>
    <n v="57.894736842105267"/>
    <s v="March"/>
    <n v="1"/>
    <m/>
    <m/>
  </r>
  <r>
    <s v="amazon_sales_mar_2025.csv"/>
    <x v="2"/>
    <s v="A-556730"/>
    <x v="71"/>
    <x v="18"/>
    <s v="meera.chandran@gmail.com"/>
    <s v="SKU4402"/>
    <n v="1"/>
    <n v="599"/>
    <n v="59.9"/>
    <s v="Completed"/>
    <x v="0"/>
    <x v="2"/>
    <d v="2025-01-08T00:00:00"/>
    <x v="12"/>
    <x v="0"/>
    <s v="Audio"/>
    <n v="350"/>
    <n v="539.1"/>
    <n v="189.10000000000002"/>
    <n v="35.076980152105364"/>
    <s v="March"/>
    <n v="1"/>
    <n v="20"/>
    <n v="1"/>
  </r>
  <r>
    <s v="amazon_sales_mar_2025.csv"/>
    <x v="2"/>
    <s v="A-556731"/>
    <x v="72"/>
    <x v="9"/>
    <s v="hamdan.sultan@gmail.com"/>
    <s v="SKU1106"/>
    <n v="1"/>
    <n v="1099"/>
    <n v="110"/>
    <s v="Completed"/>
    <x v="4"/>
    <x v="1"/>
    <d v="2023-08-30T00:00:00"/>
    <x v="3"/>
    <x v="2"/>
    <s v="Cleaning"/>
    <n v="650"/>
    <n v="989"/>
    <n v="339"/>
    <n v="34.277047522750252"/>
    <s v="March"/>
    <n v="1"/>
    <n v="46"/>
    <n v="1"/>
  </r>
  <r>
    <s v="amazon_sales_mar_2025.csv"/>
    <x v="2"/>
    <s v="A-556732"/>
    <x v="72"/>
    <x v="7"/>
    <s v="guest@amazon.com"/>
    <s v="SKU2201"/>
    <n v="2"/>
    <n v="349"/>
    <n v="0"/>
    <s v="Completed"/>
    <x v="2"/>
    <x v="3"/>
    <m/>
    <x v="2"/>
    <x v="0"/>
    <s v="Accessories"/>
    <n v="165"/>
    <n v="698"/>
    <n v="368"/>
    <n v="52.722063037249278"/>
    <s v="March"/>
    <n v="1"/>
    <m/>
    <m/>
  </r>
  <r>
    <s v="amazon_sales_mar_2025.csv"/>
    <x v="2"/>
    <s v="A-556733"/>
    <x v="73"/>
    <x v="0"/>
    <s v="ahmed.almarzouqi@gmail.com"/>
    <s v="SKU3308"/>
    <n v="1"/>
    <n v="89"/>
    <n v="8.9"/>
    <s v="Completed"/>
    <x v="0"/>
    <x v="0"/>
    <d v="2022-03-15T00:00:00"/>
    <x v="15"/>
    <x v="1"/>
    <s v="Fragrance"/>
    <n v="42"/>
    <n v="80.099999999999994"/>
    <n v="38.099999999999994"/>
    <n v="47.565543071161045"/>
    <s v="March"/>
    <n v="1"/>
    <n v="52"/>
    <n v="1"/>
  </r>
  <r>
    <s v="amazon_sales_mar_2025.csv"/>
    <x v="2"/>
    <s v="A-556734"/>
    <x v="73"/>
    <x v="19"/>
    <s v="robert.james@gmail.com"/>
    <s v="SKU4404"/>
    <n v="1"/>
    <n v="2199"/>
    <n v="220"/>
    <s v="Completed"/>
    <x v="2"/>
    <x v="3"/>
    <m/>
    <x v="13"/>
    <x v="0"/>
    <s v="TVs"/>
    <n v="1380"/>
    <n v="1979"/>
    <n v="599"/>
    <n v="30.267812026275898"/>
    <s v="March"/>
    <n v="1"/>
    <n v="9"/>
    <n v="1"/>
  </r>
  <r>
    <s v="amazon_sales_mar_2025.csv"/>
    <x v="2"/>
    <s v="A-556735"/>
    <x v="74"/>
    <x v="5"/>
    <s v="omar.farooq@gmail.com"/>
    <s v="SKU1101"/>
    <n v="2"/>
    <n v="199"/>
    <n v="20"/>
    <s v="Completed"/>
    <x v="0"/>
    <x v="1"/>
    <d v="2022-11-18T00:00:00"/>
    <x v="8"/>
    <x v="2"/>
    <s v="Kitchen"/>
    <n v="95"/>
    <n v="378"/>
    <n v="188"/>
    <n v="49.735449735449734"/>
    <s v="March"/>
    <n v="1"/>
    <n v="32"/>
    <n v="1"/>
  </r>
  <r>
    <s v="amazon_sales_mar_2025.csv"/>
    <x v="2"/>
    <s v="A-556736"/>
    <x v="74"/>
    <x v="7"/>
    <s v="guest@amazon.com"/>
    <s v="SKU3302"/>
    <n v="4"/>
    <n v="45"/>
    <n v="22.5"/>
    <s v="Completed"/>
    <x v="2"/>
    <x v="3"/>
    <m/>
    <x v="10"/>
    <x v="1"/>
    <s v="Organisation"/>
    <n v="18"/>
    <n v="157.5"/>
    <n v="85.5"/>
    <n v="54.285714285714285"/>
    <s v="March"/>
    <n v="1"/>
    <m/>
    <m/>
  </r>
  <r>
    <s v="amazon_sales_mar_2025.csv"/>
    <x v="2"/>
    <s v="A-556737"/>
    <x v="75"/>
    <x v="8"/>
    <s v="layla.nasser@gmail.com"/>
    <s v="SKU4401"/>
    <n v="1"/>
    <n v="1299"/>
    <n v="130"/>
    <s v="Completed"/>
    <x v="3"/>
    <x v="1"/>
    <d v="2023-01-05T00:00:00"/>
    <x v="0"/>
    <x v="0"/>
    <s v="TVs"/>
    <n v="820"/>
    <n v="1169"/>
    <n v="349"/>
    <n v="29.854576561163388"/>
    <s v="March"/>
    <n v="1"/>
    <n v="35"/>
    <n v="1"/>
  </r>
  <r>
    <s v="amazon_sales_mar_2025.csv"/>
    <x v="2"/>
    <s v="A-556738"/>
    <x v="75"/>
    <x v="18"/>
    <s v="meera.chandran@gmail.com"/>
    <s v="SKU2205"/>
    <n v="1"/>
    <n v="529"/>
    <n v="0"/>
    <s v="Completed"/>
    <x v="0"/>
    <x v="2"/>
    <d v="2025-01-08T00:00:00"/>
    <x v="9"/>
    <x v="0"/>
    <s v="Audio"/>
    <n v="260"/>
    <n v="529"/>
    <n v="269"/>
    <n v="50.850661625708881"/>
    <s v="March"/>
    <n v="1"/>
    <n v="20"/>
    <n v="1"/>
  </r>
  <r>
    <s v="amazon_sales_mar_2025.csv"/>
    <x v="2"/>
    <s v="A-556739"/>
    <x v="76"/>
    <x v="7"/>
    <s v="guest@amazon.com"/>
    <s v="SKU3305"/>
    <n v="2"/>
    <n v="29"/>
    <n v="0"/>
    <s v="Completed"/>
    <x v="2"/>
    <x v="3"/>
    <m/>
    <x v="11"/>
    <x v="1"/>
    <s v="Cleaning"/>
    <n v="11"/>
    <n v="58"/>
    <n v="36"/>
    <n v="62.068965517241381"/>
    <s v="March"/>
    <n v="1"/>
    <m/>
    <m/>
  </r>
  <r>
    <s v="amazon_sales_mar_2025.csv"/>
    <x v="2"/>
    <s v="A-556740"/>
    <x v="76"/>
    <x v="9"/>
    <s v="hamdan.sultan@gmail.com"/>
    <s v="SKU1105"/>
    <n v="1"/>
    <n v="899"/>
    <n v="89.9"/>
    <s v="Completed"/>
    <x v="4"/>
    <x v="1"/>
    <d v="2023-08-30T00:00:00"/>
    <x v="4"/>
    <x v="2"/>
    <s v="Cleaning"/>
    <n v="520"/>
    <n v="809.1"/>
    <n v="289.10000000000002"/>
    <n v="35.731059201582006"/>
    <s v="March"/>
    <n v="1"/>
    <n v="46"/>
    <n v="1"/>
  </r>
  <r>
    <s v="amazon_sales_mar_2025.csv"/>
    <x v="2"/>
    <s v="A-556741"/>
    <x v="77"/>
    <x v="19"/>
    <s v="robert.james@gmail.com"/>
    <s v="SKU4403"/>
    <n v="2"/>
    <n v="749"/>
    <n v="75"/>
    <s v="Completed"/>
    <x v="2"/>
    <x v="3"/>
    <m/>
    <x v="6"/>
    <x v="0"/>
    <s v="Tablets"/>
    <n v="490"/>
    <n v="1423"/>
    <n v="443"/>
    <n v="31.131412508784255"/>
    <s v="March"/>
    <n v="1"/>
    <n v="9"/>
    <n v="1"/>
  </r>
  <r>
    <s v="amazon_sales_mar_2025.csv"/>
    <x v="2"/>
    <s v="A-556742"/>
    <x v="77"/>
    <x v="0"/>
    <s v="ahmed.almarzouqi@gmail.com"/>
    <s v="SKU2209"/>
    <n v="1"/>
    <n v="229"/>
    <n v="0"/>
    <s v="Completed"/>
    <x v="0"/>
    <x v="0"/>
    <d v="2022-03-15T00:00:00"/>
    <x v="14"/>
    <x v="0"/>
    <s v="Wearables"/>
    <n v="110"/>
    <n v="229"/>
    <n v="119"/>
    <n v="51.965065502183407"/>
    <s v="March"/>
    <n v="1"/>
    <n v="52"/>
    <n v="1"/>
  </r>
  <r>
    <s v="amazon_sales_mar_2025.csv"/>
    <x v="2"/>
    <s v="A-556743"/>
    <x v="78"/>
    <x v="7"/>
    <s v="guest@amazon.com"/>
    <s v="SKU3301"/>
    <n v="5"/>
    <n v="19"/>
    <n v="0"/>
    <s v="Completed"/>
    <x v="2"/>
    <x v="3"/>
    <m/>
    <x v="1"/>
    <x v="1"/>
    <s v="Cleaning"/>
    <n v="8"/>
    <n v="95"/>
    <n v="55"/>
    <n v="57.894736842105267"/>
    <s v="March"/>
    <n v="1"/>
    <m/>
    <m/>
  </r>
  <r>
    <s v="amazon_sales_mar_2025.csv"/>
    <x v="2"/>
    <s v="A-556744"/>
    <x v="78"/>
    <x v="5"/>
    <s v="omar.farooq@gmail.com"/>
    <s v="SKU1103"/>
    <n v="1"/>
    <n v="459"/>
    <n v="46"/>
    <s v="Completed"/>
    <x v="0"/>
    <x v="1"/>
    <d v="2022-11-18T00:00:00"/>
    <x v="7"/>
    <x v="2"/>
    <s v="Kitchen"/>
    <n v="210"/>
    <n v="413"/>
    <n v="203"/>
    <n v="49.152542372881356"/>
    <s v="March"/>
    <n v="1"/>
    <n v="32"/>
    <n v="1"/>
  </r>
  <r>
    <s v="amazon_sales_mar_2025.csv"/>
    <x v="2"/>
    <s v="A-556745"/>
    <x v="79"/>
    <x v="8"/>
    <s v="layla.nasser@gmail.com"/>
    <s v="SKU4402"/>
    <n v="1"/>
    <n v="599"/>
    <n v="60"/>
    <s v="Completed"/>
    <x v="3"/>
    <x v="1"/>
    <d v="2023-01-05T00:00:00"/>
    <x v="12"/>
    <x v="0"/>
    <s v="Audio"/>
    <n v="350"/>
    <n v="539"/>
    <n v="189"/>
    <n v="35.064935064935064"/>
    <s v="March"/>
    <n v="1"/>
    <n v="35"/>
    <n v="1"/>
  </r>
  <r>
    <s v="amazon_sales_mar_2025.csv"/>
    <x v="2"/>
    <s v="A-556746"/>
    <x v="79"/>
    <x v="18"/>
    <s v="meera.chandran@gmail.com"/>
    <s v="SKU2210"/>
    <n v="1"/>
    <n v="189"/>
    <n v="19"/>
    <s v="Completed"/>
    <x v="0"/>
    <x v="2"/>
    <d v="2025-01-08T00:00:00"/>
    <x v="5"/>
    <x v="0"/>
    <s v="Wearables"/>
    <n v="95"/>
    <n v="170"/>
    <n v="75"/>
    <n v="44.117647058823529"/>
    <s v="March"/>
    <n v="1"/>
    <n v="20"/>
    <n v="1"/>
  </r>
  <r>
    <s v="amazon_sales_mar_2025.csv"/>
    <x v="2"/>
    <s v="A-556747"/>
    <x v="80"/>
    <x v="7"/>
    <s v="guest@amazon.com"/>
    <s v="SKU3308"/>
    <n v="2"/>
    <n v="89"/>
    <n v="0"/>
    <s v="Completed"/>
    <x v="2"/>
    <x v="3"/>
    <m/>
    <x v="15"/>
    <x v="1"/>
    <s v="Fragrance"/>
    <n v="42"/>
    <n v="178"/>
    <n v="94"/>
    <n v="52.80898876404494"/>
    <s v="March"/>
    <n v="1"/>
    <m/>
    <m/>
  </r>
  <r>
    <s v="amazon_sales_mar_2025.csv"/>
    <x v="2"/>
    <s v="A-556749"/>
    <x v="81"/>
    <x v="19"/>
    <s v="robert.james@gmail.com"/>
    <s v="SKU1106"/>
    <n v="1"/>
    <n v="1099"/>
    <n v="110"/>
    <s v="Completed"/>
    <x v="2"/>
    <x v="3"/>
    <m/>
    <x v="3"/>
    <x v="2"/>
    <s v="Cleaning"/>
    <n v="650"/>
    <n v="989"/>
    <n v="339"/>
    <n v="34.277047522750252"/>
    <s v="March"/>
    <n v="1"/>
    <n v="9"/>
    <n v="1"/>
  </r>
  <r>
    <s v="amazon_sales_mar_2025.csv"/>
    <x v="2"/>
    <s v="A-556750"/>
    <x v="81"/>
    <x v="0"/>
    <s v="ahmed.almarzouqi@gmail.com"/>
    <s v="SKU2201"/>
    <n v="2"/>
    <n v="349"/>
    <n v="34.9"/>
    <s v="Completed"/>
    <x v="0"/>
    <x v="0"/>
    <d v="2022-03-15T00:00:00"/>
    <x v="2"/>
    <x v="0"/>
    <s v="Accessories"/>
    <n v="165"/>
    <n v="663.1"/>
    <n v="333.1"/>
    <n v="50.233750565525561"/>
    <s v="March"/>
    <n v="1"/>
    <n v="52"/>
    <n v="1"/>
  </r>
  <r>
    <s v="amazon_sales_mar_2025.csv"/>
    <x v="2"/>
    <s v="A-556751"/>
    <x v="82"/>
    <x v="7"/>
    <s v="guest@amazon.com"/>
    <s v="SKU3302"/>
    <n v="3"/>
    <n v="45"/>
    <n v="0"/>
    <s v="Completed"/>
    <x v="2"/>
    <x v="3"/>
    <m/>
    <x v="10"/>
    <x v="1"/>
    <s v="Organisation"/>
    <n v="18"/>
    <n v="135"/>
    <n v="81"/>
    <n v="60"/>
    <s v="March"/>
    <n v="1"/>
    <m/>
    <m/>
  </r>
  <r>
    <s v="amazon_sales_mar_2025.csv"/>
    <x v="2"/>
    <s v="A-556752"/>
    <x v="82"/>
    <x v="5"/>
    <s v="omar.farooq@gmail.com"/>
    <s v="SKU4401"/>
    <n v="1"/>
    <n v="1299"/>
    <n v="130"/>
    <s v="Completed"/>
    <x v="0"/>
    <x v="1"/>
    <d v="2022-11-18T00:00:00"/>
    <x v="0"/>
    <x v="0"/>
    <s v="TVs"/>
    <n v="820"/>
    <n v="1169"/>
    <n v="349"/>
    <n v="29.854576561163388"/>
    <s v="March"/>
    <n v="1"/>
    <n v="32"/>
    <n v="1"/>
  </r>
  <r>
    <s v="amazon_sales_mar_2025.csv"/>
    <x v="2"/>
    <s v="A-556753"/>
    <x v="83"/>
    <x v="8"/>
    <s v="layla.nasser@gmail.com"/>
    <s v="SKU1105"/>
    <n v="1"/>
    <n v="899"/>
    <n v="0"/>
    <s v="Completed"/>
    <x v="3"/>
    <x v="1"/>
    <d v="2023-01-05T00:00:00"/>
    <x v="4"/>
    <x v="2"/>
    <s v="Cleaning"/>
    <n v="520"/>
    <n v="899"/>
    <n v="379"/>
    <n v="42.157953281423808"/>
    <s v="March"/>
    <n v="1"/>
    <n v="35"/>
    <n v="1"/>
  </r>
  <r>
    <s v="amazon_sales_mar_2025.csv"/>
    <x v="2"/>
    <s v="A-556754"/>
    <x v="83"/>
    <x v="18"/>
    <s v="meera.chandran@gmail.com"/>
    <s v="SKU2205"/>
    <n v="2"/>
    <n v="529"/>
    <n v="53"/>
    <s v="Completed"/>
    <x v="0"/>
    <x v="2"/>
    <d v="2025-01-08T00:00:00"/>
    <x v="9"/>
    <x v="0"/>
    <s v="Audio"/>
    <n v="260"/>
    <n v="1005"/>
    <n v="485"/>
    <n v="48.258706467661696"/>
    <s v="March"/>
    <n v="1"/>
    <n v="20"/>
    <n v="1"/>
  </r>
  <r>
    <s v="amazon_sales_mar_2025.csv"/>
    <x v="2"/>
    <s v="A-556755"/>
    <x v="84"/>
    <x v="7"/>
    <s v="guest@amazon.com"/>
    <s v="SKU3305"/>
    <n v="3"/>
    <n v="29"/>
    <n v="0"/>
    <s v="Completed"/>
    <x v="2"/>
    <x v="3"/>
    <m/>
    <x v="11"/>
    <x v="1"/>
    <s v="Cleaning"/>
    <n v="11"/>
    <n v="87"/>
    <n v="54"/>
    <n v="62.068965517241381"/>
    <s v="March"/>
    <n v="1"/>
    <m/>
    <m/>
  </r>
  <r>
    <s v="amazon_sales_mar_2025.csv"/>
    <x v="2"/>
    <s v="A-556756"/>
    <x v="84"/>
    <x v="9"/>
    <s v="hamdan.sultan@gmail.com"/>
    <s v="SKU4403"/>
    <n v="1"/>
    <n v="749"/>
    <n v="74.900000000000006"/>
    <s v="Completed"/>
    <x v="4"/>
    <x v="1"/>
    <d v="2023-08-30T00:00:00"/>
    <x v="6"/>
    <x v="0"/>
    <s v="Tablets"/>
    <n v="490"/>
    <n v="674.1"/>
    <n v="184.10000000000002"/>
    <n v="27.310488058151609"/>
    <s v="March"/>
    <n v="1"/>
    <n v="46"/>
    <n v="1"/>
  </r>
  <r>
    <s v="amazon_sales_mar_2025.csv"/>
    <x v="2"/>
    <s v="A-556757"/>
    <x v="85"/>
    <x v="19"/>
    <s v="robert.james@gmail.com"/>
    <s v="SKU2209"/>
    <n v="1"/>
    <n v="229"/>
    <n v="22.9"/>
    <s v="Completed"/>
    <x v="2"/>
    <x v="3"/>
    <m/>
    <x v="14"/>
    <x v="0"/>
    <s v="Wearables"/>
    <n v="110"/>
    <n v="206.1"/>
    <n v="96.1"/>
    <n v="46.62785055798156"/>
    <s v="March"/>
    <n v="1"/>
    <n v="9"/>
    <n v="1"/>
  </r>
  <r>
    <s v="amazon_sales_mar_2025.csv"/>
    <x v="2"/>
    <s v="A-556758"/>
    <x v="85"/>
    <x v="0"/>
    <s v="ahmed.almarzouqi@gmail.com"/>
    <s v="SKU1101"/>
    <n v="3"/>
    <n v="199"/>
    <n v="30"/>
    <s v="Completed"/>
    <x v="0"/>
    <x v="0"/>
    <d v="2022-03-15T00:00:00"/>
    <x v="8"/>
    <x v="2"/>
    <s v="Kitchen"/>
    <n v="95"/>
    <n v="567"/>
    <n v="282"/>
    <n v="49.735449735449734"/>
    <s v="March"/>
    <n v="1"/>
    <n v="52"/>
    <n v="1"/>
  </r>
  <r>
    <s v="amazon_sales_mar_2025.csv"/>
    <x v="2"/>
    <s v="A-556759"/>
    <x v="86"/>
    <x v="7"/>
    <s v="guest@amazon.com"/>
    <s v="SKU3301"/>
    <n v="4"/>
    <n v="19"/>
    <n v="0"/>
    <s v="Completed"/>
    <x v="2"/>
    <x v="3"/>
    <m/>
    <x v="1"/>
    <x v="1"/>
    <s v="Cleaning"/>
    <n v="8"/>
    <n v="76"/>
    <n v="44"/>
    <n v="57.894736842105267"/>
    <s v="March"/>
    <n v="1"/>
    <m/>
    <m/>
  </r>
  <r>
    <s v="amazon_sales_mar_2025.csv"/>
    <x v="2"/>
    <s v="A-556760"/>
    <x v="86"/>
    <x v="5"/>
    <s v="omar.farooq@gmail.com"/>
    <s v="SKU4402"/>
    <n v="1"/>
    <n v="599"/>
    <n v="59.9"/>
    <s v="Completed"/>
    <x v="0"/>
    <x v="1"/>
    <d v="2022-11-18T00:00:00"/>
    <x v="12"/>
    <x v="0"/>
    <s v="Audio"/>
    <n v="350"/>
    <n v="539.1"/>
    <n v="189.10000000000002"/>
    <n v="35.076980152105364"/>
    <s v="March"/>
    <n v="1"/>
    <n v="32"/>
    <n v="1"/>
  </r>
  <r>
    <s v="amazon_sales_mar_2025.csv"/>
    <x v="2"/>
    <s v="A-556761"/>
    <x v="87"/>
    <x v="8"/>
    <s v="layla.nasser@gmail.com"/>
    <s v="SKU4404"/>
    <n v="1"/>
    <n v="2199"/>
    <n v="220"/>
    <s v="Completed"/>
    <x v="3"/>
    <x v="1"/>
    <d v="2023-01-05T00:00:00"/>
    <x v="13"/>
    <x v="0"/>
    <s v="TVs"/>
    <n v="1380"/>
    <n v="1979"/>
    <n v="599"/>
    <n v="30.267812026275898"/>
    <s v="March"/>
    <n v="1"/>
    <n v="35"/>
    <n v="1"/>
  </r>
  <r>
    <s v="amazon_sales_mar_2025.csv"/>
    <x v="2"/>
    <s v="A-556762"/>
    <x v="87"/>
    <x v="18"/>
    <s v="meera.chandran@gmail.com"/>
    <s v="SKU1103"/>
    <n v="1"/>
    <n v="459"/>
    <n v="46"/>
    <s v="Completed"/>
    <x v="0"/>
    <x v="2"/>
    <d v="2025-01-08T00:00:00"/>
    <x v="7"/>
    <x v="2"/>
    <s v="Kitchen"/>
    <n v="210"/>
    <n v="413"/>
    <n v="203"/>
    <n v="49.152542372881356"/>
    <s v="March"/>
    <n v="1"/>
    <n v="20"/>
    <n v="1"/>
  </r>
  <r>
    <s v="amazon_sales_mar_2025.csv"/>
    <x v="2"/>
    <s v="A-556763"/>
    <x v="88"/>
    <x v="7"/>
    <s v="guest@amazon.com"/>
    <s v="SKU3308"/>
    <n v="2"/>
    <n v="89"/>
    <n v="8.9"/>
    <s v="Completed"/>
    <x v="2"/>
    <x v="3"/>
    <m/>
    <x v="15"/>
    <x v="1"/>
    <s v="Fragrance"/>
    <n v="42"/>
    <n v="169.1"/>
    <n v="85.1"/>
    <n v="50.325251330573629"/>
    <s v="March"/>
    <n v="1"/>
    <m/>
    <m/>
  </r>
  <r>
    <s v="amazon_sales_mar_2025.csv"/>
    <x v="2"/>
    <s v="A-556764"/>
    <x v="88"/>
    <x v="9"/>
    <s v="hamdan.sultan@gmail.com"/>
    <s v="SKU2210"/>
    <n v="1"/>
    <n v="189"/>
    <n v="19"/>
    <s v="Completed"/>
    <x v="4"/>
    <x v="1"/>
    <d v="2023-08-30T00:00:00"/>
    <x v="5"/>
    <x v="0"/>
    <s v="Wearables"/>
    <n v="95"/>
    <n v="170"/>
    <n v="75"/>
    <n v="44.117647058823529"/>
    <s v="March"/>
    <n v="1"/>
    <n v="46"/>
    <n v="1"/>
  </r>
  <r>
    <s v="amazon_sales_mar_2025.csv"/>
    <x v="2"/>
    <s v="A-556765"/>
    <x v="89"/>
    <x v="19"/>
    <s v="robert.james@gmail.com"/>
    <s v="SKU4401"/>
    <n v="1"/>
    <n v="1299"/>
    <n v="130"/>
    <s v="Completed"/>
    <x v="2"/>
    <x v="3"/>
    <m/>
    <x v="0"/>
    <x v="0"/>
    <s v="TVs"/>
    <n v="820"/>
    <n v="1169"/>
    <n v="349"/>
    <n v="29.854576561163388"/>
    <s v="March"/>
    <n v="1"/>
    <n v="9"/>
    <n v="1"/>
  </r>
  <r>
    <s v="amazon_sales_mar_2025.csv"/>
    <x v="2"/>
    <s v="A-556766"/>
    <x v="89"/>
    <x v="0"/>
    <s v="ahmed.almarzouqi@gmail.com"/>
    <s v="SKU3302"/>
    <n v="3"/>
    <n v="45"/>
    <n v="0"/>
    <s v="Completed"/>
    <x v="0"/>
    <x v="0"/>
    <d v="2022-03-15T00:00:00"/>
    <x v="10"/>
    <x v="1"/>
    <s v="Organisation"/>
    <n v="18"/>
    <n v="135"/>
    <n v="81"/>
    <n v="60"/>
    <s v="March"/>
    <n v="1"/>
    <n v="5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342873-6E98-45AC-8107-03BAE5F39BC7}" name="PivotTable7" cacheId="6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H26:J42" firstHeaderRow="0" firstDataRow="1" firstDataCol="1"/>
  <pivotFields count="27">
    <pivotField showAll="0"/>
    <pivotField showAll="0">
      <items count="4">
        <item x="2"/>
        <item x="1"/>
        <item x="0"/>
        <item t="default"/>
      </items>
    </pivotField>
    <pivotField showAll="0"/>
    <pivotField numFmtId="14" showAll="0">
      <items count="91">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0"/>
        <item x="4"/>
        <item x="6"/>
        <item x="8"/>
        <item x="10"/>
        <item x="1"/>
        <item x="5"/>
        <item x="2"/>
        <item x="3"/>
        <item x="9"/>
        <item x="7"/>
        <item x="11"/>
        <item x="12"/>
        <item x="13"/>
        <item x="14"/>
        <item x="15"/>
        <item x="16"/>
        <item x="17"/>
        <item x="18"/>
        <item x="19"/>
        <item x="20"/>
        <item x="21"/>
        <item x="22"/>
        <item x="23"/>
        <item x="24"/>
        <item x="25"/>
        <item x="26"/>
        <item x="2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pivotField showAll="0"/>
    <pivotField showAll="0"/>
    <pivotField showAll="0"/>
    <pivotField showAll="0"/>
    <pivotField showAll="0">
      <items count="5">
        <item x="3"/>
        <item x="2"/>
        <item x="1"/>
        <item x="0"/>
        <item t="default"/>
      </items>
    </pivotField>
    <pivotField showAll="0"/>
    <pivotField axis="axisRow" showAll="0" sortType="descending">
      <items count="17">
        <item x="10"/>
        <item x="2"/>
        <item x="6"/>
        <item x="4"/>
        <item x="5"/>
        <item x="1"/>
        <item x="3"/>
        <item x="9"/>
        <item x="13"/>
        <item x="8"/>
        <item x="0"/>
        <item x="11"/>
        <item x="12"/>
        <item x="7"/>
        <item x="14"/>
        <item x="15"/>
        <item t="default"/>
      </items>
      <autoSortScope>
        <pivotArea dataOnly="0" outline="0" fieldPosition="0">
          <references count="1">
            <reference field="4294967294" count="1" selected="0">
              <x v="0"/>
            </reference>
          </references>
        </pivotArea>
      </autoSortScope>
    </pivotField>
    <pivotField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numFmtId="2" showAll="0"/>
    <pivotField showAll="0"/>
    <pivotField showAll="0"/>
    <pivotField showAll="0"/>
    <pivotField showAll="0"/>
    <pivotField dragToRow="0" dragToCol="0" dragToPage="0" showAll="0" defaultSubtotal="0"/>
    <pivotField dataField="1" dragToRow="0" dragToCol="0" dragToPage="0" showAll="0" defaultSubtotal="0"/>
  </pivotFields>
  <rowFields count="1">
    <field x="14"/>
  </rowFields>
  <rowItems count="16">
    <i>
      <x v="8"/>
    </i>
    <i>
      <x v="10"/>
    </i>
    <i>
      <x v="3"/>
    </i>
    <i>
      <x v="2"/>
    </i>
    <i>
      <x v="6"/>
    </i>
    <i>
      <x v="1"/>
    </i>
    <i>
      <x v="7"/>
    </i>
    <i>
      <x v="12"/>
    </i>
    <i>
      <x v="9"/>
    </i>
    <i>
      <x v="13"/>
    </i>
    <i>
      <x v="14"/>
    </i>
    <i>
      <x v="4"/>
    </i>
    <i>
      <x/>
    </i>
    <i>
      <x v="15"/>
    </i>
    <i>
      <x v="11"/>
    </i>
    <i>
      <x v="5"/>
    </i>
  </rowItems>
  <colFields count="1">
    <field x="-2"/>
  </colFields>
  <colItems count="2">
    <i>
      <x/>
    </i>
    <i i="1">
      <x v="1"/>
    </i>
  </colItems>
  <dataFields count="2">
    <dataField name="total_revenue" fld="18" baseField="14" baseItem="0" numFmtId="164"/>
    <dataField name="margin_pct" fld="26" baseField="14" baseItem="0" numFmtId="2"/>
  </dataFields>
  <formats count="8">
    <format dxfId="765">
      <pivotArea outline="0" collapsedLevelsAreSubtotals="1" fieldPosition="0">
        <references count="1">
          <reference field="4294967294" count="1" selected="0">
            <x v="0"/>
          </reference>
        </references>
      </pivotArea>
    </format>
    <format dxfId="766">
      <pivotArea outline="0" collapsedLevelsAreSubtotals="1" fieldPosition="0">
        <references count="1">
          <reference field="4294967294" count="1" selected="0">
            <x v="1"/>
          </reference>
        </references>
      </pivotArea>
    </format>
    <format dxfId="767">
      <pivotArea outline="0" collapsedLevelsAreSubtotals="1" fieldPosition="0"/>
    </format>
    <format dxfId="768">
      <pivotArea dataOnly="0" labelOnly="1" outline="0" fieldPosition="0">
        <references count="1">
          <reference field="4294967294" count="2">
            <x v="0"/>
            <x v="1"/>
          </reference>
        </references>
      </pivotArea>
    </format>
    <format dxfId="769">
      <pivotArea outline="0" collapsedLevelsAreSubtotals="1" fieldPosition="0"/>
    </format>
    <format dxfId="770">
      <pivotArea dataOnly="0" labelOnly="1" outline="0" fieldPosition="0">
        <references count="1">
          <reference field="4294967294" count="2">
            <x v="0"/>
            <x v="1"/>
          </reference>
        </references>
      </pivotArea>
    </format>
    <format dxfId="771">
      <pivotArea field="15" type="button" dataOnly="0" labelOnly="1" outline="0"/>
    </format>
    <format dxfId="772">
      <pivotArea field="15" type="button" dataOnly="0" labelOnly="1" outline="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918F30-2575-44F9-900E-F6BA51B36896}"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C36" firstHeaderRow="0" firstDataRow="1" firstDataCol="0"/>
  <pivotFields count="27">
    <pivotField showAll="0"/>
    <pivotField showAll="0"/>
    <pivotField showAll="0"/>
    <pivotField numFmtId="14" showAll="0"/>
    <pivotField showAll="0">
      <items count="21">
        <item sd="0" x="0"/>
        <item sd="0" x="1"/>
        <item sd="0" x="5"/>
        <item sd="0" x="8"/>
        <item sd="0" x="3"/>
        <item sd="0" x="6"/>
        <item sd="0" x="9"/>
        <item sd="0" x="13"/>
        <item sd="0" x="14"/>
        <item sd="0" x="2"/>
        <item sd="0" x="18"/>
        <item sd="0" x="11"/>
        <item sd="0" x="7"/>
        <item x="4"/>
        <item x="10"/>
        <item x="15"/>
        <item x="17"/>
        <item x="12"/>
        <item x="16"/>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dataField="1" showAll="0"/>
    <pivotField dataField="1" showAl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Count of total_orders" fld="23" subtotal="count" baseField="3" baseItem="12"/>
    <dataField name="Sum of is_repeat" fld="24" baseField="3" baseItem="0"/>
  </dataFields>
  <formats count="8">
    <format dxfId="757">
      <pivotArea field="4" type="button" dataOnly="0" labelOnly="1" outline="0"/>
    </format>
    <format dxfId="758">
      <pivotArea dataOnly="0" labelOnly="1" grandRow="1" outline="0" fieldPosition="0"/>
    </format>
    <format dxfId="759">
      <pivotArea type="all" dataOnly="0" outline="0" fieldPosition="0"/>
    </format>
    <format dxfId="760">
      <pivotArea outline="0" collapsedLevelsAreSubtotals="1" fieldPosition="0"/>
    </format>
    <format dxfId="761">
      <pivotArea dataOnly="0" labelOnly="1" outline="0" fieldPosition="0">
        <references count="1">
          <reference field="4294967294" count="2">
            <x v="0"/>
            <x v="1"/>
          </reference>
        </references>
      </pivotArea>
    </format>
    <format dxfId="762">
      <pivotArea type="all" dataOnly="0" outline="0" fieldPosition="0"/>
    </format>
    <format dxfId="763">
      <pivotArea outline="0" collapsedLevelsAreSubtotals="1" fieldPosition="0"/>
    </format>
    <format dxfId="764">
      <pivotArea dataOnly="0" labelOnly="1" outline="0" fieldPosition="0">
        <references count="1">
          <reference field="4294967294" count="2">
            <x v="0"/>
            <x v="1"/>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FA6F91-DC19-42BF-BD75-914A8A881B26}" name="PivotTable6" cacheId="6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B29:D33" firstHeaderRow="0" firstDataRow="1" firstDataCol="1"/>
  <pivotFields count="27">
    <pivotField showAll="0"/>
    <pivotField showAll="0">
      <items count="4">
        <item x="2"/>
        <item x="1"/>
        <item x="0"/>
        <item t="default"/>
      </items>
    </pivotField>
    <pivotField showAll="0"/>
    <pivotField numFmtId="14" showAll="0">
      <items count="91">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0"/>
        <item x="4"/>
        <item x="6"/>
        <item x="8"/>
        <item x="10"/>
        <item x="1"/>
        <item x="5"/>
        <item x="2"/>
        <item x="3"/>
        <item x="9"/>
        <item x="7"/>
        <item x="11"/>
        <item x="12"/>
        <item x="13"/>
        <item x="14"/>
        <item x="15"/>
        <item x="16"/>
        <item x="17"/>
        <item x="18"/>
        <item x="19"/>
        <item x="20"/>
        <item x="21"/>
        <item x="22"/>
        <item x="23"/>
        <item x="24"/>
        <item x="25"/>
        <item x="26"/>
        <item x="2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pivotField showAll="0"/>
    <pivotField showAll="0"/>
    <pivotField showAll="0"/>
    <pivotField axis="axisRow" showAll="0">
      <items count="6">
        <item x="3"/>
        <item x="4"/>
        <item x="0"/>
        <item x="1"/>
        <item x="2"/>
        <item t="default"/>
      </items>
    </pivotField>
    <pivotField axis="axisRow" showAll="0" sortType="descending">
      <items count="5">
        <item sd="0" x="3"/>
        <item sd="0" x="2"/>
        <item sd="0" x="1"/>
        <item sd="0"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showAll="0"/>
    <pivotField showAll="0"/>
    <pivotField numFmtId="2" showAll="0"/>
    <pivotField showAll="0"/>
    <pivotField dataField="1" showAll="0"/>
    <pivotField showAll="0"/>
    <pivotField showAll="0"/>
    <pivotField dragToRow="0" dragToCol="0" dragToPage="0" showAll="0" defaultSubtotal="0"/>
    <pivotField dragToRow="0" dragToCol="0" dragToPage="0" showAll="0" defaultSubtotal="0"/>
  </pivotFields>
  <rowFields count="2">
    <field x="12"/>
    <field x="11"/>
  </rowFields>
  <rowItems count="4">
    <i>
      <x v="2"/>
    </i>
    <i>
      <x v="1"/>
    </i>
    <i>
      <x v="3"/>
    </i>
    <i>
      <x/>
    </i>
  </rowItems>
  <colFields count="1">
    <field x="-2"/>
  </colFields>
  <colItems count="2">
    <i>
      <x/>
    </i>
    <i i="1">
      <x v="1"/>
    </i>
  </colItems>
  <dataFields count="2">
    <dataField name="total_sales_count" fld="22" subtotal="count" baseField="10" baseItem="0"/>
    <dataField name="total_revenue" fld="18" baseField="11" baseItem="0" numFmtId="164"/>
  </dataFields>
  <formats count="17">
    <format dxfId="740">
      <pivotArea outline="0" collapsedLevelsAreSubtotals="1" fieldPosition="0">
        <references count="1">
          <reference field="4294967294" count="1" selected="0">
            <x v="1"/>
          </reference>
        </references>
      </pivotArea>
    </format>
    <format dxfId="741">
      <pivotArea field="12" type="button" dataOnly="0" labelOnly="1" outline="0" axis="axisRow" fieldPosition="0"/>
    </format>
    <format dxfId="742">
      <pivotArea dataOnly="0" labelOnly="1" fieldPosition="0">
        <references count="1">
          <reference field="12" count="0"/>
        </references>
      </pivotArea>
    </format>
    <format dxfId="743">
      <pivotArea dataOnly="0" labelOnly="1" fieldPosition="0">
        <references count="2">
          <reference field="11" count="4">
            <x v="0"/>
            <x v="1"/>
            <x v="2"/>
            <x v="3"/>
          </reference>
          <reference field="12" count="1" selected="0">
            <x v="2"/>
          </reference>
        </references>
      </pivotArea>
    </format>
    <format dxfId="744">
      <pivotArea dataOnly="0" labelOnly="1" fieldPosition="0">
        <references count="2">
          <reference field="11" count="1">
            <x v="2"/>
          </reference>
          <reference field="12" count="1" selected="0">
            <x v="3"/>
          </reference>
        </references>
      </pivotArea>
    </format>
    <format dxfId="745">
      <pivotArea dataOnly="0" labelOnly="1" fieldPosition="0">
        <references count="2">
          <reference field="11" count="2">
            <x v="0"/>
            <x v="2"/>
          </reference>
          <reference field="12" count="1" selected="0">
            <x v="1"/>
          </reference>
        </references>
      </pivotArea>
    </format>
    <format dxfId="746">
      <pivotArea dataOnly="0" labelOnly="1" fieldPosition="0">
        <references count="2">
          <reference field="11" count="1">
            <x v="4"/>
          </reference>
          <reference field="12" count="1" selected="0">
            <x v="0"/>
          </reference>
        </references>
      </pivotArea>
    </format>
    <format dxfId="747">
      <pivotArea field="12" type="button" dataOnly="0" labelOnly="1" outline="0" axis="axisRow" fieldPosition="0"/>
    </format>
    <format dxfId="748">
      <pivotArea dataOnly="0" labelOnly="1" fieldPosition="0">
        <references count="1">
          <reference field="12" count="0"/>
        </references>
      </pivotArea>
    </format>
    <format dxfId="749">
      <pivotArea dataOnly="0" labelOnly="1" fieldPosition="0">
        <references count="2">
          <reference field="11" count="4">
            <x v="0"/>
            <x v="1"/>
            <x v="2"/>
            <x v="3"/>
          </reference>
          <reference field="12" count="1" selected="0">
            <x v="2"/>
          </reference>
        </references>
      </pivotArea>
    </format>
    <format dxfId="750">
      <pivotArea dataOnly="0" labelOnly="1" fieldPosition="0">
        <references count="2">
          <reference field="11" count="1">
            <x v="2"/>
          </reference>
          <reference field="12" count="1" selected="0">
            <x v="3"/>
          </reference>
        </references>
      </pivotArea>
    </format>
    <format dxfId="751">
      <pivotArea dataOnly="0" labelOnly="1" fieldPosition="0">
        <references count="2">
          <reference field="11" count="2">
            <x v="0"/>
            <x v="2"/>
          </reference>
          <reference field="12" count="1" selected="0">
            <x v="1"/>
          </reference>
        </references>
      </pivotArea>
    </format>
    <format dxfId="752">
      <pivotArea dataOnly="0" labelOnly="1" fieldPosition="0">
        <references count="2">
          <reference field="11" count="1">
            <x v="4"/>
          </reference>
          <reference field="12" count="1" selected="0">
            <x v="0"/>
          </reference>
        </references>
      </pivotArea>
    </format>
    <format dxfId="753">
      <pivotArea outline="0" collapsedLevelsAreSubtotals="1" fieldPosition="0"/>
    </format>
    <format dxfId="754">
      <pivotArea dataOnly="0" labelOnly="1" outline="0" fieldPosition="0">
        <references count="1">
          <reference field="4294967294" count="2">
            <x v="0"/>
            <x v="1"/>
          </reference>
        </references>
      </pivotArea>
    </format>
    <format dxfId="755">
      <pivotArea outline="0" collapsedLevelsAreSubtotals="1" fieldPosition="0"/>
    </format>
    <format dxfId="75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BA2AF1-5FD4-447B-A492-656C6CB626F8}" name="PivotTable3" cacheId="6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5:M24" firstHeaderRow="0" firstDataRow="1" firstDataCol="1"/>
  <pivotFields count="27">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axis="axisRow" showAll="0" sortType="descending">
      <items count="17">
        <item x="10"/>
        <item x="2"/>
        <item x="6"/>
        <item x="4"/>
        <item x="5"/>
        <item x="1"/>
        <item x="3"/>
        <item x="9"/>
        <item x="13"/>
        <item x="8"/>
        <item x="0"/>
        <item x="11"/>
        <item x="12"/>
        <item x="7"/>
        <item x="14"/>
        <item x="15"/>
        <item t="default"/>
      </items>
      <autoSortScope>
        <pivotArea dataOnly="0" outline="0" fieldPosition="0">
          <references count="1">
            <reference field="4294967294" count="1" selected="0">
              <x v="4"/>
            </reference>
          </references>
        </pivotArea>
      </autoSortScope>
    </pivotField>
    <pivotField axis="axisRow" showAll="0" sortType="descending">
      <items count="4">
        <item x="0"/>
        <item x="1"/>
        <item x="2"/>
        <item t="default"/>
      </items>
      <autoSortScope>
        <pivotArea dataOnly="0" outline="0" fieldPosition="0">
          <references count="1">
            <reference field="4294967294" count="1" selected="0">
              <x v="4"/>
            </reference>
          </references>
        </pivotArea>
      </autoSortScope>
    </pivotField>
    <pivotField showAll="0"/>
    <pivotField showAll="0"/>
    <pivotField dataField="1" showAll="0"/>
    <pivotField dataField="1" showAll="0"/>
    <pivotField numFmtId="2" showAll="0"/>
    <pivotField showAll="0"/>
    <pivotField dataField="1" showAll="0"/>
    <pivotField showAll="0"/>
    <pivotField showAll="0"/>
    <pivotField dragToRow="0" dragToCol="0" dragToPage="0" showAll="0" defaultSubtotal="0"/>
    <pivotField dataField="1" dragToRow="0" dragToCol="0" dragToPage="0" showAll="0" defaultSubtotal="0"/>
  </pivotFields>
  <rowFields count="2">
    <field x="15"/>
    <field x="14"/>
  </rowFields>
  <rowItems count="19">
    <i>
      <x v="1"/>
    </i>
    <i r="1">
      <x v="11"/>
    </i>
    <i r="1">
      <x/>
    </i>
    <i r="1">
      <x v="5"/>
    </i>
    <i r="1">
      <x v="15"/>
    </i>
    <i>
      <x v="2"/>
    </i>
    <i r="1">
      <x v="13"/>
    </i>
    <i r="1">
      <x v="9"/>
    </i>
    <i r="1">
      <x v="3"/>
    </i>
    <i r="1">
      <x v="6"/>
    </i>
    <i>
      <x/>
    </i>
    <i r="1">
      <x v="1"/>
    </i>
    <i r="1">
      <x v="14"/>
    </i>
    <i r="1">
      <x v="7"/>
    </i>
    <i r="1">
      <x v="4"/>
    </i>
    <i r="1">
      <x v="12"/>
    </i>
    <i r="1">
      <x v="10"/>
    </i>
    <i r="1">
      <x v="8"/>
    </i>
    <i r="1">
      <x v="2"/>
    </i>
  </rowItems>
  <colFields count="1">
    <field x="-2"/>
  </colFields>
  <colItems count="5">
    <i>
      <x/>
    </i>
    <i i="1">
      <x v="1"/>
    </i>
    <i i="2">
      <x v="2"/>
    </i>
    <i i="3">
      <x v="3"/>
    </i>
    <i i="4">
      <x v="4"/>
    </i>
  </colItems>
  <dataFields count="5">
    <dataField name="total_sales_count" fld="22" baseField="14" baseItem="0" numFmtId="1"/>
    <dataField name="total_quantity" fld="7" baseField="14" baseItem="0" numFmtId="1"/>
    <dataField name="total_revenue" fld="18" baseField="14" baseItem="0" numFmtId="164"/>
    <dataField name="total_profit" fld="19" baseField="14" baseItem="0" numFmtId="164"/>
    <dataField name="margin_pct" fld="26" baseField="14" baseItem="0" numFmtId="2"/>
  </dataFields>
  <formats count="17">
    <format dxfId="723">
      <pivotArea outline="0" collapsedLevelsAreSubtotals="1" fieldPosition="0">
        <references count="1">
          <reference field="4294967294" count="2" selected="0">
            <x v="0"/>
            <x v="1"/>
          </reference>
        </references>
      </pivotArea>
    </format>
    <format dxfId="724">
      <pivotArea outline="0" collapsedLevelsAreSubtotals="1" fieldPosition="0">
        <references count="1">
          <reference field="4294967294" count="2" selected="0">
            <x v="2"/>
            <x v="3"/>
          </reference>
        </references>
      </pivotArea>
    </format>
    <format dxfId="725">
      <pivotArea outline="0" collapsedLevelsAreSubtotals="1" fieldPosition="0">
        <references count="1">
          <reference field="4294967294" count="1" selected="0">
            <x v="4"/>
          </reference>
        </references>
      </pivotArea>
    </format>
    <format dxfId="726">
      <pivotArea outline="0" collapsedLevelsAreSubtotals="1" fieldPosition="0"/>
    </format>
    <format dxfId="727">
      <pivotArea dataOnly="0" labelOnly="1" outline="0" fieldPosition="0">
        <references count="1">
          <reference field="4294967294" count="5">
            <x v="0"/>
            <x v="1"/>
            <x v="2"/>
            <x v="3"/>
            <x v="4"/>
          </reference>
        </references>
      </pivotArea>
    </format>
    <format dxfId="728">
      <pivotArea outline="0" collapsedLevelsAreSubtotals="1" fieldPosition="0"/>
    </format>
    <format dxfId="729">
      <pivotArea dataOnly="0" labelOnly="1" outline="0" fieldPosition="0">
        <references count="1">
          <reference field="4294967294" count="5">
            <x v="0"/>
            <x v="1"/>
            <x v="2"/>
            <x v="3"/>
            <x v="4"/>
          </reference>
        </references>
      </pivotArea>
    </format>
    <format dxfId="730">
      <pivotArea field="15" type="button" dataOnly="0" labelOnly="1" outline="0" axis="axisRow" fieldPosition="0"/>
    </format>
    <format dxfId="731">
      <pivotArea dataOnly="0" labelOnly="1" fieldPosition="0">
        <references count="1">
          <reference field="15" count="0"/>
        </references>
      </pivotArea>
    </format>
    <format dxfId="732">
      <pivotArea dataOnly="0" labelOnly="1" fieldPosition="0">
        <references count="2">
          <reference field="14" count="8">
            <x v="1"/>
            <x v="2"/>
            <x v="4"/>
            <x v="7"/>
            <x v="8"/>
            <x v="10"/>
            <x v="12"/>
            <x v="14"/>
          </reference>
          <reference field="15" count="1" selected="0">
            <x v="0"/>
          </reference>
        </references>
      </pivotArea>
    </format>
    <format dxfId="733">
      <pivotArea dataOnly="0" labelOnly="1" fieldPosition="0">
        <references count="2">
          <reference field="14" count="4">
            <x v="0"/>
            <x v="5"/>
            <x v="11"/>
            <x v="15"/>
          </reference>
          <reference field="15" count="1" selected="0">
            <x v="1"/>
          </reference>
        </references>
      </pivotArea>
    </format>
    <format dxfId="734">
      <pivotArea dataOnly="0" labelOnly="1" fieldPosition="0">
        <references count="2">
          <reference field="14" count="4">
            <x v="3"/>
            <x v="6"/>
            <x v="9"/>
            <x v="13"/>
          </reference>
          <reference field="15" count="1" selected="0">
            <x v="2"/>
          </reference>
        </references>
      </pivotArea>
    </format>
    <format dxfId="735">
      <pivotArea field="15" type="button" dataOnly="0" labelOnly="1" outline="0" axis="axisRow" fieldPosition="0"/>
    </format>
    <format dxfId="736">
      <pivotArea dataOnly="0" labelOnly="1" fieldPosition="0">
        <references count="1">
          <reference field="15" count="0"/>
        </references>
      </pivotArea>
    </format>
    <format dxfId="737">
      <pivotArea dataOnly="0" labelOnly="1" fieldPosition="0">
        <references count="2">
          <reference field="14" count="8">
            <x v="1"/>
            <x v="2"/>
            <x v="4"/>
            <x v="7"/>
            <x v="8"/>
            <x v="10"/>
            <x v="12"/>
            <x v="14"/>
          </reference>
          <reference field="15" count="1" selected="0">
            <x v="0"/>
          </reference>
        </references>
      </pivotArea>
    </format>
    <format dxfId="738">
      <pivotArea dataOnly="0" labelOnly="1" fieldPosition="0">
        <references count="2">
          <reference field="14" count="4">
            <x v="0"/>
            <x v="5"/>
            <x v="11"/>
            <x v="15"/>
          </reference>
          <reference field="15" count="1" selected="0">
            <x v="1"/>
          </reference>
        </references>
      </pivotArea>
    </format>
    <format dxfId="739">
      <pivotArea dataOnly="0" labelOnly="1" fieldPosition="0">
        <references count="2">
          <reference field="14" count="4">
            <x v="3"/>
            <x v="6"/>
            <x v="9"/>
            <x v="13"/>
          </reference>
          <reference field="15" count="1" selected="0">
            <x v="2"/>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34529C-296B-4E1D-B5D7-D7AC0F144AE2}" name="PivotTable5" cacheId="6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8:E12" firstHeaderRow="0" firstDataRow="1" firstDataCol="1"/>
  <pivotFields count="27">
    <pivotField showAll="0"/>
    <pivotField axis="axisRow" showAll="0" sortType="descending">
      <items count="4">
        <item x="2"/>
        <item x="1"/>
        <item x="0"/>
        <item t="default"/>
      </items>
      <autoSortScope>
        <pivotArea dataOnly="0" outline="0" fieldPosition="0">
          <references count="1">
            <reference field="4294967294" count="1" selected="0">
              <x v="1"/>
            </reference>
          </references>
        </pivotArea>
      </autoSortScope>
    </pivotField>
    <pivotField showAll="0"/>
    <pivotField numFmtId="14" showAll="0">
      <items count="91">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0"/>
        <item x="4"/>
        <item x="6"/>
        <item x="8"/>
        <item x="10"/>
        <item x="1"/>
        <item x="5"/>
        <item x="2"/>
        <item x="3"/>
        <item x="9"/>
        <item x="7"/>
        <item x="11"/>
        <item x="12"/>
        <item x="13"/>
        <item x="14"/>
        <item x="15"/>
        <item x="16"/>
        <item x="17"/>
        <item x="18"/>
        <item x="19"/>
        <item x="20"/>
        <item x="21"/>
        <item x="22"/>
        <item x="23"/>
        <item x="24"/>
        <item x="25"/>
        <item x="26"/>
        <item x="2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 showAll="0"/>
    <pivotField dataField="1" showAll="0"/>
    <pivotField dataField="1" showAll="0"/>
    <pivotField numFmtId="2" showAll="0"/>
    <pivotField showAll="0"/>
    <pivotField dataField="1" showAll="0"/>
    <pivotField showAll="0"/>
    <pivotField showAll="0"/>
    <pivotField dragToRow="0" dragToCol="0" dragToPage="0" showAll="0" defaultSubtotal="0"/>
    <pivotField dragToRow="0" dragToCol="0" dragToPage="0" showAll="0" defaultSubtotal="0"/>
  </pivotFields>
  <rowFields count="1">
    <field x="1"/>
  </rowFields>
  <rowItems count="4">
    <i>
      <x v="1"/>
    </i>
    <i>
      <x/>
    </i>
    <i>
      <x v="2"/>
    </i>
    <i t="grand">
      <x/>
    </i>
  </rowItems>
  <colFields count="1">
    <field x="-2"/>
  </colFields>
  <colItems count="3">
    <i>
      <x/>
    </i>
    <i i="1">
      <x v="1"/>
    </i>
    <i i="2">
      <x v="2"/>
    </i>
  </colItems>
  <dataFields count="3">
    <dataField name="total_sales_count" fld="22" subtotal="count" baseField="0" baseItem="0"/>
    <dataField name="total_revenue" fld="18" baseField="0" baseItem="0" numFmtId="164"/>
    <dataField name="total_profit" fld="19" baseField="0" baseItem="0" numFmtId="164"/>
  </dataFields>
  <formats count="11">
    <format dxfId="712">
      <pivotArea field="1" type="button" dataOnly="0" labelOnly="1" outline="0" axis="axisRow" fieldPosition="0"/>
    </format>
    <format dxfId="713">
      <pivotArea dataOnly="0" labelOnly="1" fieldPosition="0">
        <references count="1">
          <reference field="1" count="0"/>
        </references>
      </pivotArea>
    </format>
    <format dxfId="714">
      <pivotArea dataOnly="0" labelOnly="1" grandRow="1" outline="0" fieldPosition="0"/>
    </format>
    <format dxfId="715">
      <pivotArea field="1" type="button" dataOnly="0" labelOnly="1" outline="0" axis="axisRow" fieldPosition="0"/>
    </format>
    <format dxfId="716">
      <pivotArea dataOnly="0" labelOnly="1" fieldPosition="0">
        <references count="1">
          <reference field="1" count="0"/>
        </references>
      </pivotArea>
    </format>
    <format dxfId="717">
      <pivotArea dataOnly="0" labelOnly="1" grandRow="1" outline="0" fieldPosition="0"/>
    </format>
    <format dxfId="718">
      <pivotArea outline="0" collapsedLevelsAreSubtotals="1" fieldPosition="0"/>
    </format>
    <format dxfId="719">
      <pivotArea dataOnly="0" labelOnly="1" outline="0" fieldPosition="0">
        <references count="1">
          <reference field="4294967294" count="2">
            <x v="1"/>
            <x v="2"/>
          </reference>
        </references>
      </pivotArea>
    </format>
    <format dxfId="720">
      <pivotArea outline="0" collapsedLevelsAreSubtotals="1" fieldPosition="0"/>
    </format>
    <format dxfId="721">
      <pivotArea dataOnly="0" labelOnly="1" outline="0" fieldPosition="0">
        <references count="1">
          <reference field="4294967294" count="2">
            <x v="1"/>
            <x v="2"/>
          </reference>
        </references>
      </pivotArea>
    </format>
    <format dxfId="722">
      <pivotArea outline="0" collapsedLevelsAreSubtotals="1" fieldPosition="0">
        <references count="1">
          <reference field="4294967294" count="2" selected="0">
            <x v="1"/>
            <x v="2"/>
          </reference>
        </references>
      </pivotArea>
    </format>
  </formats>
  <chartFormats count="3">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CEAC9-4452-462B-A84F-E16BB3C1DF95}" name="PivotTable2" cacheId="6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4:E27" firstHeaderRow="0" firstDataRow="1" firstDataCol="1"/>
  <pivotFields count="27">
    <pivotField showAll="0"/>
    <pivotField showAll="0"/>
    <pivotField showAll="0"/>
    <pivotField numFmtId="14" showAll="0"/>
    <pivotField showAll="0"/>
    <pivotField showAll="0"/>
    <pivotField showAll="0"/>
    <pivotField showAll="0"/>
    <pivotField showAll="0"/>
    <pivotField showAll="0"/>
    <pivotField showAll="0"/>
    <pivotField axis="axisRow" showAll="0" sortType="descending">
      <items count="6">
        <item x="3"/>
        <item x="4"/>
        <item x="0"/>
        <item x="1"/>
        <item x="2"/>
        <item t="default"/>
      </items>
      <autoSortScope>
        <pivotArea dataOnly="0" outline="0" fieldPosition="0">
          <references count="1">
            <reference field="4294967294" count="1" selected="0">
              <x v="2"/>
            </reference>
          </references>
        </pivotArea>
      </autoSortScope>
    </pivotField>
    <pivotField axis="axisRow" showAll="0" sortType="descending">
      <items count="5">
        <item x="3"/>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dataField="1" showAll="0"/>
    <pivotField showAll="0"/>
    <pivotField numFmtId="2" showAll="0"/>
    <pivotField showAll="0"/>
    <pivotField dataField="1" showAll="0"/>
    <pivotField showAll="0"/>
    <pivotField showAll="0"/>
    <pivotField dataField="1" dragToRow="0" dragToCol="0" dragToPage="0" showAll="0" defaultSubtotal="0"/>
    <pivotField dragToRow="0" dragToCol="0" dragToPage="0" showAll="0" defaultSubtotal="0"/>
  </pivotFields>
  <rowFields count="2">
    <field x="12"/>
    <field x="11"/>
  </rowFields>
  <rowItems count="13">
    <i>
      <x v="2"/>
    </i>
    <i r="1">
      <x/>
    </i>
    <i r="1">
      <x v="3"/>
    </i>
    <i r="1">
      <x v="1"/>
    </i>
    <i r="1">
      <x v="2"/>
    </i>
    <i>
      <x v="1"/>
    </i>
    <i r="1">
      <x/>
    </i>
    <i r="1">
      <x v="2"/>
    </i>
    <i r="1">
      <x v="3"/>
    </i>
    <i>
      <x v="3"/>
    </i>
    <i r="1">
      <x v="2"/>
    </i>
    <i>
      <x/>
    </i>
    <i r="1">
      <x v="4"/>
    </i>
  </rowItems>
  <colFields count="1">
    <field x="-2"/>
  </colFields>
  <colItems count="3">
    <i>
      <x/>
    </i>
    <i i="1">
      <x v="1"/>
    </i>
    <i i="2">
      <x v="2"/>
    </i>
  </colItems>
  <dataFields count="3">
    <dataField name="total_sales_count" fld="22" subtotal="count" baseField="10" baseItem="0"/>
    <dataField name="total_revenue" fld="18" baseField="11" baseItem="0" numFmtId="164"/>
    <dataField name="average_order_value" fld="25" baseField="11" baseItem="2" numFmtId="164"/>
  </dataFields>
  <formats count="18">
    <format dxfId="694">
      <pivotArea outline="0" collapsedLevelsAreSubtotals="1" fieldPosition="0">
        <references count="1">
          <reference field="4294967294" count="1" selected="0">
            <x v="1"/>
          </reference>
        </references>
      </pivotArea>
    </format>
    <format dxfId="695">
      <pivotArea outline="0" collapsedLevelsAreSubtotals="1" fieldPosition="0">
        <references count="1">
          <reference field="4294967294" count="1" selected="0">
            <x v="2"/>
          </reference>
        </references>
      </pivotArea>
    </format>
    <format dxfId="696">
      <pivotArea field="12" type="button" dataOnly="0" labelOnly="1" outline="0" axis="axisRow" fieldPosition="0"/>
    </format>
    <format dxfId="697">
      <pivotArea dataOnly="0" labelOnly="1" fieldPosition="0">
        <references count="1">
          <reference field="12" count="0"/>
        </references>
      </pivotArea>
    </format>
    <format dxfId="698">
      <pivotArea dataOnly="0" labelOnly="1" fieldPosition="0">
        <references count="2">
          <reference field="11" count="4">
            <x v="0"/>
            <x v="1"/>
            <x v="2"/>
            <x v="3"/>
          </reference>
          <reference field="12" count="1" selected="0">
            <x v="2"/>
          </reference>
        </references>
      </pivotArea>
    </format>
    <format dxfId="699">
      <pivotArea dataOnly="0" labelOnly="1" fieldPosition="0">
        <references count="2">
          <reference field="11" count="1">
            <x v="2"/>
          </reference>
          <reference field="12" count="1" selected="0">
            <x v="3"/>
          </reference>
        </references>
      </pivotArea>
    </format>
    <format dxfId="700">
      <pivotArea dataOnly="0" labelOnly="1" fieldPosition="0">
        <references count="2">
          <reference field="11" count="2">
            <x v="0"/>
            <x v="2"/>
          </reference>
          <reference field="12" count="1" selected="0">
            <x v="1"/>
          </reference>
        </references>
      </pivotArea>
    </format>
    <format dxfId="701">
      <pivotArea dataOnly="0" labelOnly="1" fieldPosition="0">
        <references count="2">
          <reference field="11" count="1">
            <x v="4"/>
          </reference>
          <reference field="12" count="1" selected="0">
            <x v="0"/>
          </reference>
        </references>
      </pivotArea>
    </format>
    <format dxfId="702">
      <pivotArea field="12" type="button" dataOnly="0" labelOnly="1" outline="0" axis="axisRow" fieldPosition="0"/>
    </format>
    <format dxfId="703">
      <pivotArea dataOnly="0" labelOnly="1" fieldPosition="0">
        <references count="1">
          <reference field="12" count="0"/>
        </references>
      </pivotArea>
    </format>
    <format dxfId="704">
      <pivotArea dataOnly="0" labelOnly="1" fieldPosition="0">
        <references count="2">
          <reference field="11" count="4">
            <x v="0"/>
            <x v="1"/>
            <x v="2"/>
            <x v="3"/>
          </reference>
          <reference field="12" count="1" selected="0">
            <x v="2"/>
          </reference>
        </references>
      </pivotArea>
    </format>
    <format dxfId="705">
      <pivotArea dataOnly="0" labelOnly="1" fieldPosition="0">
        <references count="2">
          <reference field="11" count="1">
            <x v="2"/>
          </reference>
          <reference field="12" count="1" selected="0">
            <x v="3"/>
          </reference>
        </references>
      </pivotArea>
    </format>
    <format dxfId="706">
      <pivotArea dataOnly="0" labelOnly="1" fieldPosition="0">
        <references count="2">
          <reference field="11" count="2">
            <x v="0"/>
            <x v="2"/>
          </reference>
          <reference field="12" count="1" selected="0">
            <x v="1"/>
          </reference>
        </references>
      </pivotArea>
    </format>
    <format dxfId="707">
      <pivotArea dataOnly="0" labelOnly="1" fieldPosition="0">
        <references count="2">
          <reference field="11" count="1">
            <x v="4"/>
          </reference>
          <reference field="12" count="1" selected="0">
            <x v="0"/>
          </reference>
        </references>
      </pivotArea>
    </format>
    <format dxfId="708">
      <pivotArea outline="0" collapsedLevelsAreSubtotals="1" fieldPosition="0"/>
    </format>
    <format dxfId="709">
      <pivotArea dataOnly="0" labelOnly="1" outline="0" fieldPosition="0">
        <references count="1">
          <reference field="4294967294" count="3">
            <x v="0"/>
            <x v="1"/>
            <x v="2"/>
          </reference>
        </references>
      </pivotArea>
    </format>
    <format dxfId="710">
      <pivotArea outline="0" collapsedLevelsAreSubtotals="1" fieldPosition="0"/>
    </format>
    <format dxfId="711">
      <pivotArea dataOnly="0" labelOnly="1" outline="0" fieldPosition="0">
        <references count="1">
          <reference field="4294967294" count="3">
            <x v="0"/>
            <x v="1"/>
            <x v="2"/>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AD4737-0A27-4653-8B08-A633E47D4FCE}"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F6" firstHeaderRow="0" firstDataRow="1" firstDataCol="1"/>
  <pivotFields count="27">
    <pivotField showAll="0"/>
    <pivotField axis="axisRow" showAll="0" sortType="descending">
      <items count="4">
        <item x="2"/>
        <item x="1"/>
        <item x="0"/>
        <item t="default"/>
      </items>
      <autoSortScope>
        <pivotArea dataOnly="0" outline="0" fieldPosition="0">
          <references count="1">
            <reference field="4294967294" count="1" selected="0">
              <x v="3"/>
            </reference>
          </references>
        </pivotArea>
      </autoSortScope>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numFmtId="2" showAll="0"/>
    <pivotField showAll="0"/>
    <pivotField dataField="1" showAll="0"/>
    <pivotField showAll="0"/>
    <pivotField showAll="0"/>
    <pivotField dragToRow="0" dragToCol="0" dragToPage="0" showAll="0" defaultSubtotal="0"/>
    <pivotField dataField="1" dragToRow="0" dragToCol="0" dragToPage="0" showAll="0" defaultSubtotal="0"/>
  </pivotFields>
  <rowFields count="1">
    <field x="1"/>
  </rowFields>
  <rowItems count="4">
    <i>
      <x v="1"/>
    </i>
    <i>
      <x v="2"/>
    </i>
    <i>
      <x/>
    </i>
    <i t="grand">
      <x/>
    </i>
  </rowItems>
  <colFields count="1">
    <field x="-2"/>
  </colFields>
  <colItems count="4">
    <i>
      <x/>
    </i>
    <i i="1">
      <x v="1"/>
    </i>
    <i i="2">
      <x v="2"/>
    </i>
    <i i="3">
      <x v="3"/>
    </i>
  </colItems>
  <dataFields count="4">
    <dataField name="total_sales_count" fld="22" subtotal="count" baseField="0" baseItem="0"/>
    <dataField name="total_revenue" fld="18" baseField="0" baseItem="0" numFmtId="164"/>
    <dataField name="total_profit" fld="19" baseField="0" baseItem="0" numFmtId="164"/>
    <dataField name="margin_pct" fld="26" baseField="0" baseItem="0" numFmtId="2"/>
  </dataFields>
  <formats count="12">
    <format dxfId="682">
      <pivotArea field="1" type="button" dataOnly="0" labelOnly="1" outline="0" axis="axisRow" fieldPosition="0"/>
    </format>
    <format dxfId="683">
      <pivotArea dataOnly="0" labelOnly="1" fieldPosition="0">
        <references count="1">
          <reference field="1" count="0"/>
        </references>
      </pivotArea>
    </format>
    <format dxfId="684">
      <pivotArea dataOnly="0" labelOnly="1" grandRow="1" outline="0" fieldPosition="0"/>
    </format>
    <format dxfId="685">
      <pivotArea field="1" type="button" dataOnly="0" labelOnly="1" outline="0" axis="axisRow" fieldPosition="0"/>
    </format>
    <format dxfId="686">
      <pivotArea dataOnly="0" labelOnly="1" fieldPosition="0">
        <references count="1">
          <reference field="1" count="0"/>
        </references>
      </pivotArea>
    </format>
    <format dxfId="687">
      <pivotArea dataOnly="0" labelOnly="1" grandRow="1" outline="0" fieldPosition="0"/>
    </format>
    <format dxfId="688">
      <pivotArea outline="0" collapsedLevelsAreSubtotals="1" fieldPosition="0"/>
    </format>
    <format dxfId="689">
      <pivotArea dataOnly="0" labelOnly="1" outline="0" fieldPosition="0">
        <references count="1">
          <reference field="4294967294" count="2">
            <x v="1"/>
            <x v="2"/>
          </reference>
        </references>
      </pivotArea>
    </format>
    <format dxfId="690">
      <pivotArea outline="0" collapsedLevelsAreSubtotals="1" fieldPosition="0"/>
    </format>
    <format dxfId="691">
      <pivotArea dataOnly="0" labelOnly="1" outline="0" fieldPosition="0">
        <references count="1">
          <reference field="4294967294" count="2">
            <x v="1"/>
            <x v="2"/>
          </reference>
        </references>
      </pivotArea>
    </format>
    <format dxfId="692">
      <pivotArea outline="0" collapsedLevelsAreSubtotals="1" fieldPosition="0">
        <references count="1">
          <reference field="4294967294" count="2" selected="0">
            <x v="1"/>
            <x v="2"/>
          </reference>
        </references>
      </pivotArea>
    </format>
    <format dxfId="693">
      <pivotArea outline="0" collapsedLevelsAreSubtotals="1" fieldPosition="0">
        <references count="1">
          <reference field="4294967294" count="1" selected="0">
            <x v="3"/>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27C47D-FA30-4E3F-A90E-E780216A3B79}" name="PivotTable8" cacheId="6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38:D42" firstHeaderRow="0" firstDataRow="1" firstDataCol="1"/>
  <pivotFields count="27">
    <pivotField showAll="0"/>
    <pivotField axis="axisRow" showAll="0" sortType="descending">
      <items count="4">
        <item x="2"/>
        <item x="1"/>
        <item x="0"/>
        <item t="default"/>
      </items>
      <autoSortScope>
        <pivotArea dataOnly="0" outline="0" fieldPosition="0">
          <references count="1">
            <reference field="4294967294" count="1" selected="0">
              <x v="1"/>
            </reference>
          </references>
        </pivotArea>
      </autoSortScope>
    </pivotField>
    <pivotField showAll="0"/>
    <pivotField numFmtId="14" showAll="0">
      <items count="91">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0"/>
        <item x="4"/>
        <item x="6"/>
        <item x="8"/>
        <item x="10"/>
        <item x="1"/>
        <item x="5"/>
        <item x="2"/>
        <item x="3"/>
        <item x="9"/>
        <item x="7"/>
        <item x="11"/>
        <item x="12"/>
        <item x="13"/>
        <item x="14"/>
        <item x="15"/>
        <item x="16"/>
        <item x="17"/>
        <item x="18"/>
        <item x="19"/>
        <item x="20"/>
        <item x="21"/>
        <item x="22"/>
        <item x="23"/>
        <item x="24"/>
        <item x="25"/>
        <item x="26"/>
        <item x="2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21">
        <item sd="0" x="0"/>
        <item sd="0" x="1"/>
        <item sd="0" x="5"/>
        <item sd="0" x="8"/>
        <item sd="0" x="3"/>
        <item sd="0" x="6"/>
        <item sd="0" x="9"/>
        <item sd="0" x="13"/>
        <item sd="0" x="14"/>
        <item sd="0" x="2"/>
        <item sd="0" x="18"/>
        <item sd="0" x="11"/>
        <item h="1" sd="0" x="7"/>
        <item h="1" x="4"/>
        <item h="1" x="10"/>
        <item h="1" x="15"/>
        <item h="1" x="17"/>
        <item h="1" x="12"/>
        <item h="1" x="16"/>
        <item h="1" x="19"/>
        <item t="default"/>
      </items>
    </pivotField>
    <pivotField showAll="0"/>
    <pivotField showAll="0"/>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showAll="0"/>
    <pivotField numFmtId="2" showAll="0"/>
    <pivotField showAll="0"/>
    <pivotField showAll="0"/>
    <pivotField dataField="1" showAll="0"/>
    <pivotField dataField="1" showAll="0"/>
    <pivotField dragToRow="0" dragToCol="0" dragToPage="0" showAll="0" defaultSubtotal="0"/>
    <pivotField dragToRow="0" dragToCol="0" dragToPage="0" showAll="0" defaultSubtotal="0"/>
  </pivotFields>
  <rowFields count="1">
    <field x="1"/>
  </rowFields>
  <rowItems count="4">
    <i>
      <x v="2"/>
    </i>
    <i>
      <x v="1"/>
    </i>
    <i>
      <x/>
    </i>
    <i t="grand">
      <x/>
    </i>
  </rowItems>
  <colFields count="1">
    <field x="-2"/>
  </colFields>
  <colItems count="2">
    <i>
      <x/>
    </i>
    <i i="1">
      <x v="1"/>
    </i>
  </colItems>
  <dataFields count="2">
    <dataField name="all_orders" fld="23" subtotal="count" baseField="0" baseItem="0"/>
    <dataField name="repeat_orders" fld="24" baseField="0" baseItem="0"/>
  </dataFields>
  <formats count="8">
    <format dxfId="674">
      <pivotArea field="4" type="button" dataOnly="0" labelOnly="1" outline="0"/>
    </format>
    <format dxfId="675">
      <pivotArea dataOnly="0" labelOnly="1" grandRow="1" outline="0" fieldPosition="0"/>
    </format>
    <format dxfId="676">
      <pivotArea type="all" dataOnly="0" outline="0" fieldPosition="0"/>
    </format>
    <format dxfId="677">
      <pivotArea outline="0" collapsedLevelsAreSubtotals="1" fieldPosition="0"/>
    </format>
    <format dxfId="678">
      <pivotArea dataOnly="0" labelOnly="1" outline="0" fieldPosition="0">
        <references count="1">
          <reference field="4294967294" count="2">
            <x v="0"/>
            <x v="1"/>
          </reference>
        </references>
      </pivotArea>
    </format>
    <format dxfId="679">
      <pivotArea type="all" dataOnly="0" outline="0" fieldPosition="0"/>
    </format>
    <format dxfId="680">
      <pivotArea outline="0" collapsedLevelsAreSubtotals="1" fieldPosition="0"/>
    </format>
    <format dxfId="681">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7" xr16:uid="{A13FA559-B68C-40B0-86EE-CE98CA233CEA}" autoFormatId="16" applyNumberFormats="0" applyBorderFormats="0" applyFontFormats="0" applyPatternFormats="0" applyAlignmentFormats="0" applyWidthHeightFormats="0">
  <queryTableRefresh nextId="27">
    <queryTableFields count="25">
      <queryTableField id="25" name="Source.Name" tableColumnId="25"/>
      <queryTableField id="1" name="Channel" tableColumnId="1"/>
      <queryTableField id="2" name="order_id" tableColumnId="2"/>
      <queryTableField id="3" name="order_date" tableColumnId="3"/>
      <queryTableField id="4" name="customer_id" tableColumnId="4"/>
      <queryTableField id="5" name="customer_email" tableColumnId="5"/>
      <queryTableField id="6" name="sku" tableColumnId="6"/>
      <queryTableField id="7" name="quantity" tableColumnId="7"/>
      <queryTableField id="8" name="unit_price" tableColumnId="8"/>
      <queryTableField id="9" name="discount_amount" tableColumnId="9"/>
      <queryTableField id="10" name="status" tableColumnId="10"/>
      <queryTableField id="11" name="city" tableColumnId="11"/>
      <queryTableField id="12" name="segment" tableColumnId="12"/>
      <queryTableField id="13" name="registration_date" tableColumnId="13"/>
      <queryTableField id="14" name="product_name" tableColumnId="14"/>
      <queryTableField id="15" name="category" tableColumnId="15"/>
      <queryTableField id="16" name="subcategory" tableColumnId="16"/>
      <queryTableField id="17" name="cost_price" tableColumnId="17"/>
      <queryTableField id="18" name="net_revenue" tableColumnId="18"/>
      <queryTableField id="19" name="profit" tableColumnId="19"/>
      <queryTableField id="20" name="margin" tableColumnId="20"/>
      <queryTableField id="21" name="order_month" tableColumnId="21"/>
      <queryTableField id="22" name="order_count" tableColumnId="22"/>
      <queryTableField id="23" name="total_orders" tableColumnId="23"/>
      <queryTableField id="24" name="is_repeat"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F70E102-8757-4BA0-B25B-618427613343}" sourceName="channel">
  <pivotTables>
    <pivotTable tabId="8" name="PivotTable6"/>
    <pivotTable tabId="8" name="PivotTable8"/>
    <pivotTable tabId="8" name="PivotTable5"/>
    <pivotTable tabId="8" name="PivotTable7"/>
  </pivotTables>
  <data>
    <tabular pivotCacheId="180592593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0DE91F8-3E06-4ED6-8671-BEE84524D9A7}" sourceName="segment">
  <pivotTables>
    <pivotTable tabId="8" name="PivotTable6"/>
    <pivotTable tabId="8" name="PivotTable8"/>
    <pivotTable tabId="8" name="PivotTable5"/>
    <pivotTable tabId="8" name="PivotTable7"/>
  </pivotTables>
  <data>
    <tabular pivotCacheId="1805925939">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82F5808D-C20D-455C-BD83-DB028D6A877D}" cache="Slicer_channel" caption="channel" style="SlicerStyleDark2" rowHeight="234950"/>
  <slicer name="segment" xr10:uid="{D3A61733-FAFB-46FF-AE2B-C21D9D269985}" cache="Slicer_segment" caption="segment"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29381C-D03E-464A-84FA-F61F3A4445E5}" name="orders" displayName="orders" ref="A1:Y491" tableType="queryTable" totalsRowShown="0" headerRowDxfId="673" dataDxfId="672">
  <autoFilter ref="A1:Y491" xr:uid="{5029381C-D03E-464A-84FA-F61F3A4445E5}"/>
  <tableColumns count="25">
    <tableColumn id="25" xr3:uid="{32887AE3-FF6B-447C-A56F-70FB2EEA740B}" uniqueName="25" name="Source.Name" queryTableFieldId="25" dataDxfId="22"/>
    <tableColumn id="1" xr3:uid="{4981930B-94E4-4762-872D-65A4FB108EA3}" uniqueName="1" name="channel" queryTableFieldId="1" dataDxfId="21"/>
    <tableColumn id="2" xr3:uid="{D1EF4A76-1F24-4941-AD0C-C84379F4FA44}" uniqueName="2" name="order_id" queryTableFieldId="2" dataDxfId="20"/>
    <tableColumn id="3" xr3:uid="{52CB40FC-3852-4A70-BF28-9375B28F322B}" uniqueName="3" name="order_date" queryTableFieldId="3" dataDxfId="19"/>
    <tableColumn id="4" xr3:uid="{76F635DD-1647-47C0-8D84-84F7EEF2FC4D}" uniqueName="4" name="customer_id" queryTableFieldId="4" dataDxfId="18"/>
    <tableColumn id="5" xr3:uid="{8C4A809D-1535-4DDE-884F-1AB113B10C8E}" uniqueName="5" name="customer_email" queryTableFieldId="5" dataDxfId="17"/>
    <tableColumn id="6" xr3:uid="{A52E9DA1-6822-44EF-8FCC-19B12C125BFD}" uniqueName="6" name="sku" queryTableFieldId="6" dataDxfId="16"/>
    <tableColumn id="7" xr3:uid="{6A2BF840-62C4-4777-A84B-CBA9D39CBCAC}" uniqueName="7" name="quantity" queryTableFieldId="7" dataDxfId="15"/>
    <tableColumn id="8" xr3:uid="{5FD72C3D-B9ED-47FA-AD61-A7171C00EB87}" uniqueName="8" name="unit_price" queryTableFieldId="8" dataDxfId="14"/>
    <tableColumn id="9" xr3:uid="{DD228712-C1B4-4B08-8982-439577657F80}" uniqueName="9" name="discount_amount" queryTableFieldId="9" dataDxfId="13"/>
    <tableColumn id="10" xr3:uid="{5EBB88C3-0A92-4CC7-83E8-6A84EA95DD8A}" uniqueName="10" name="status" queryTableFieldId="10" dataDxfId="12"/>
    <tableColumn id="11" xr3:uid="{B697C4F9-BD4C-41B7-94A3-E4358051367A}" uniqueName="11" name="city" queryTableFieldId="11" dataDxfId="11"/>
    <tableColumn id="12" xr3:uid="{FD5F35B2-CC92-490A-952C-D5D87CC253D0}" uniqueName="12" name="segment" queryTableFieldId="12" dataDxfId="10"/>
    <tableColumn id="13" xr3:uid="{4CBF3354-ABFF-42E1-B9FE-A2DEBFD2E552}" uniqueName="13" name="registration_date" queryTableFieldId="13" dataDxfId="9"/>
    <tableColumn id="14" xr3:uid="{375793A8-C76F-4129-8E7F-CB1974D73A32}" uniqueName="14" name="product_name" queryTableFieldId="14" dataDxfId="8"/>
    <tableColumn id="15" xr3:uid="{AB8E2A2C-2919-477D-AE87-C55EFDF0BA15}" uniqueName="15" name="category" queryTableFieldId="15" dataDxfId="7"/>
    <tableColumn id="16" xr3:uid="{C5623FC6-98C2-4D5F-ADB4-0FC6AF92B2A8}" uniqueName="16" name="subcategory" queryTableFieldId="16" dataDxfId="6"/>
    <tableColumn id="17" xr3:uid="{5202EECF-FEE1-4A33-8622-566E55F0E48B}" uniqueName="17" name="cost_price" queryTableFieldId="17" dataDxfId="5"/>
    <tableColumn id="18" xr3:uid="{CAF09375-C91B-4ED0-A329-CD1BD68191D8}" uniqueName="18" name="net_revenue" queryTableFieldId="18" dataDxfId="4"/>
    <tableColumn id="19" xr3:uid="{04C4D755-7180-4CD2-9020-AF686C274021}" uniqueName="19" name="profit" queryTableFieldId="19" dataDxfId="3"/>
    <tableColumn id="20" xr3:uid="{45B8FD6A-7D57-4E9E-8456-F9A3B0DBAE40}" uniqueName="20" name="margin" queryTableFieldId="20" dataDxfId="2"/>
    <tableColumn id="21" xr3:uid="{6713737F-43C2-480B-8876-77DBEF976232}" uniqueName="21" name="order_month" queryTableFieldId="21" dataDxfId="1"/>
    <tableColumn id="22" xr3:uid="{73BDA936-5FD3-4C7D-BB11-0D0839E7AD7E}" uniqueName="22" name="order_count" queryTableFieldId="22"/>
    <tableColumn id="23" xr3:uid="{09AB93F4-C036-4402-A1B8-4DC249D2E7CF}" uniqueName="23" name="total_orders" queryTableFieldId="23"/>
    <tableColumn id="24" xr3:uid="{18C69832-2C70-43BC-BA8F-214F81696D85}" uniqueName="24" name="is_repeat" queryTableFieldId="24"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D051D3A-21F8-4488-9E68-8D7DB6B752EB}" sourceName="order_date">
  <pivotTables>
    <pivotTable tabId="8" name="PivotTable6"/>
    <pivotTable tabId="8" name="PivotTable8"/>
    <pivotTable tabId="8" name="PivotTable5"/>
    <pivotTable tabId="8" name="PivotTable7"/>
  </pivotTables>
  <state minimalRefreshVersion="6" lastRefreshVersion="6" pivotCacheId="180592593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44F101F-FB8B-430C-B1B9-2AAE286DFCF4}" cache="NativeTimeline_order_date" caption="order_date" level="2" selectionLevel="2" scrollPosition="2025-01-01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E973-48F2-440B-B436-6E1AEA677722}">
  <dimension ref="A1:AB33"/>
  <sheetViews>
    <sheetView tabSelected="1" zoomScale="85" zoomScaleNormal="85" workbookViewId="0">
      <selection activeCell="AC2" sqref="AC2"/>
    </sheetView>
  </sheetViews>
  <sheetFormatPr defaultRowHeight="14.4" x14ac:dyDescent="0.3"/>
  <sheetData>
    <row r="1" spans="1:28" x14ac:dyDescent="0.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28"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row>
    <row r="3" spans="1:28" s="13" customFormat="1" x14ac:dyDescent="0.3"/>
    <row r="4" spans="1:28" s="13" customFormat="1" x14ac:dyDescent="0.3"/>
    <row r="5" spans="1:28" s="12" customFormat="1" x14ac:dyDescent="0.3"/>
    <row r="6" spans="1:28"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row>
    <row r="7" spans="1:28"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row>
    <row r="8" spans="1:28"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row>
    <row r="9" spans="1:28"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row>
    <row r="10" spans="1:28"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spans="1:28"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row>
    <row r="12" spans="1:28"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spans="1:28"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spans="1:28"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spans="1:28"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spans="1:28"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spans="1:28"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spans="1:28"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spans="1:28"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spans="1:28"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spans="1:28"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spans="1:28"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spans="1:28"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1:28"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1:28"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1:28"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1:28"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1:28"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spans="1:28"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spans="1:28"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spans="1:28"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spans="1:28"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1:28"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F2C0B-11A1-4C3A-92DC-22C139EF49A2}">
  <dimension ref="B2:M42"/>
  <sheetViews>
    <sheetView workbookViewId="0">
      <selection activeCell="D16" sqref="D16"/>
    </sheetView>
  </sheetViews>
  <sheetFormatPr defaultRowHeight="14.4" x14ac:dyDescent="0.3"/>
  <cols>
    <col min="1" max="1" width="3.33203125" customWidth="1"/>
    <col min="2" max="2" width="19.21875" bestFit="1" customWidth="1"/>
    <col min="3" max="3" width="15.88671875" bestFit="1" customWidth="1"/>
    <col min="4" max="4" width="14.6640625" bestFit="1" customWidth="1"/>
    <col min="5" max="5" width="19" bestFit="1" customWidth="1"/>
    <col min="6" max="6" width="10.5546875" bestFit="1" customWidth="1"/>
    <col min="7" max="7" width="3.33203125" customWidth="1"/>
    <col min="8" max="8" width="37.6640625" bestFit="1" customWidth="1"/>
    <col min="9" max="9" width="15.88671875" bestFit="1" customWidth="1"/>
    <col min="10" max="10" width="14.33203125" bestFit="1" customWidth="1"/>
    <col min="11" max="11" width="14.6640625" bestFit="1" customWidth="1"/>
    <col min="12" max="12" width="13.109375" bestFit="1" customWidth="1"/>
    <col min="13" max="13" width="10.5546875" bestFit="1" customWidth="1"/>
  </cols>
  <sheetData>
    <row r="2" spans="2:13" x14ac:dyDescent="0.3">
      <c r="B2" s="5" t="s">
        <v>261</v>
      </c>
      <c r="C2" t="s">
        <v>264</v>
      </c>
      <c r="D2" s="1" t="s">
        <v>263</v>
      </c>
      <c r="E2" s="1" t="s">
        <v>262</v>
      </c>
      <c r="F2" t="s">
        <v>268</v>
      </c>
      <c r="H2" s="16">
        <f>GETPIVOTDATA("total_revenue",$B$2)</f>
        <v>287436.10000000009</v>
      </c>
      <c r="I2" s="18">
        <f>GETPIVOTDATA("total_sales_count",$B$2)</f>
        <v>490</v>
      </c>
      <c r="J2" s="16">
        <f>GETPIVOTDATA("total_profit",$B$2)</f>
        <v>114457.10000000021</v>
      </c>
      <c r="K2" s="17">
        <f>GETPIVOTDATA("margin_pct",$B$2)</f>
        <v>39.820015648695545</v>
      </c>
      <c r="L2" s="17">
        <f>D36*100</f>
        <v>99.107142857142861</v>
      </c>
    </row>
    <row r="3" spans="2:13" x14ac:dyDescent="0.3">
      <c r="B3" s="6" t="s">
        <v>14</v>
      </c>
      <c r="C3" s="22">
        <v>163</v>
      </c>
      <c r="D3" s="9">
        <v>97080.400000000052</v>
      </c>
      <c r="E3" s="9">
        <v>39151.399999999972</v>
      </c>
      <c r="F3" s="7">
        <v>40.328840837079319</v>
      </c>
    </row>
    <row r="4" spans="2:13" x14ac:dyDescent="0.3">
      <c r="B4" s="6" t="s">
        <v>9</v>
      </c>
      <c r="C4" s="22">
        <v>166</v>
      </c>
      <c r="D4" s="9">
        <v>94942.100000000049</v>
      </c>
      <c r="E4" s="9">
        <v>37786.099999999969</v>
      </c>
      <c r="F4" s="7">
        <v>39.799098608520303</v>
      </c>
      <c r="G4" s="7"/>
    </row>
    <row r="5" spans="2:13" x14ac:dyDescent="0.3">
      <c r="B5" s="6" t="s">
        <v>17</v>
      </c>
      <c r="C5" s="22">
        <v>161</v>
      </c>
      <c r="D5" s="9">
        <v>95413.600000000064</v>
      </c>
      <c r="E5" s="9">
        <v>37519.599999999977</v>
      </c>
      <c r="F5" s="7">
        <v>39.323115363008995</v>
      </c>
      <c r="G5" s="7"/>
      <c r="H5" s="5" t="s">
        <v>261</v>
      </c>
      <c r="I5" s="1" t="s">
        <v>264</v>
      </c>
      <c r="J5" s="1" t="s">
        <v>269</v>
      </c>
      <c r="K5" s="1" t="s">
        <v>263</v>
      </c>
      <c r="L5" s="1" t="s">
        <v>262</v>
      </c>
      <c r="M5" s="1" t="s">
        <v>268</v>
      </c>
    </row>
    <row r="6" spans="2:13" x14ac:dyDescent="0.3">
      <c r="B6" s="6" t="s">
        <v>275</v>
      </c>
      <c r="C6" s="22">
        <v>490</v>
      </c>
      <c r="D6" s="9">
        <v>287436.10000000009</v>
      </c>
      <c r="E6" s="9">
        <v>114457.10000000021</v>
      </c>
      <c r="F6" s="7">
        <v>39.820015648695545</v>
      </c>
      <c r="G6" s="7"/>
      <c r="H6" s="6" t="s">
        <v>52</v>
      </c>
      <c r="I6" s="8">
        <v>128</v>
      </c>
      <c r="J6" s="8">
        <v>381</v>
      </c>
      <c r="K6" s="9">
        <v>14377</v>
      </c>
      <c r="L6" s="9">
        <v>8233</v>
      </c>
      <c r="M6" s="7">
        <v>57.265076163316422</v>
      </c>
    </row>
    <row r="7" spans="2:13" x14ac:dyDescent="0.3">
      <c r="H7" s="6" t="s">
        <v>64</v>
      </c>
      <c r="I7" s="8">
        <v>33</v>
      </c>
      <c r="J7" s="8">
        <v>102</v>
      </c>
      <c r="K7" s="9">
        <v>2958</v>
      </c>
      <c r="L7" s="9">
        <v>1836</v>
      </c>
      <c r="M7" s="7">
        <v>62.068965517241381</v>
      </c>
    </row>
    <row r="8" spans="2:13" x14ac:dyDescent="0.3">
      <c r="B8" s="5" t="s">
        <v>261</v>
      </c>
      <c r="C8" t="s">
        <v>264</v>
      </c>
      <c r="D8" s="1" t="s">
        <v>263</v>
      </c>
      <c r="E8" s="1" t="s">
        <v>262</v>
      </c>
      <c r="H8" s="6" t="s">
        <v>51</v>
      </c>
      <c r="I8" s="8">
        <v>37</v>
      </c>
      <c r="J8" s="8">
        <v>109</v>
      </c>
      <c r="K8" s="9">
        <v>4788</v>
      </c>
      <c r="L8" s="9">
        <v>2826</v>
      </c>
      <c r="M8" s="7">
        <v>59.022556390977442</v>
      </c>
    </row>
    <row r="9" spans="2:13" x14ac:dyDescent="0.3">
      <c r="B9" s="6" t="s">
        <v>14</v>
      </c>
      <c r="C9" s="22">
        <v>163</v>
      </c>
      <c r="D9" s="9">
        <v>97080.400000000052</v>
      </c>
      <c r="E9" s="9">
        <v>39151.399999999972</v>
      </c>
      <c r="H9" s="6" t="s">
        <v>74</v>
      </c>
      <c r="I9" s="8">
        <v>29</v>
      </c>
      <c r="J9" s="8">
        <v>120</v>
      </c>
      <c r="K9" s="9">
        <v>2270</v>
      </c>
      <c r="L9" s="9">
        <v>1310</v>
      </c>
      <c r="M9" s="7">
        <v>57.709251101321591</v>
      </c>
    </row>
    <row r="10" spans="2:13" x14ac:dyDescent="0.3">
      <c r="B10" s="6" t="s">
        <v>17</v>
      </c>
      <c r="C10" s="22">
        <v>161</v>
      </c>
      <c r="D10" s="9">
        <v>95413.600000000064</v>
      </c>
      <c r="E10" s="9">
        <v>37519.599999999977</v>
      </c>
      <c r="H10" s="6" t="s">
        <v>82</v>
      </c>
      <c r="I10" s="8">
        <v>29</v>
      </c>
      <c r="J10" s="8">
        <v>50</v>
      </c>
      <c r="K10" s="9">
        <v>4361</v>
      </c>
      <c r="L10" s="9">
        <v>2260.9999999999995</v>
      </c>
      <c r="M10" s="7">
        <v>51.845906902086668</v>
      </c>
    </row>
    <row r="11" spans="2:13" x14ac:dyDescent="0.3">
      <c r="B11" s="6" t="s">
        <v>9</v>
      </c>
      <c r="C11" s="22">
        <v>166</v>
      </c>
      <c r="D11" s="9">
        <v>94942.100000000049</v>
      </c>
      <c r="E11" s="9">
        <v>37786.099999999969</v>
      </c>
      <c r="H11" s="6" t="s">
        <v>48</v>
      </c>
      <c r="I11" s="8">
        <v>121</v>
      </c>
      <c r="J11" s="8">
        <v>173</v>
      </c>
      <c r="K11" s="9">
        <v>88218</v>
      </c>
      <c r="L11" s="9">
        <v>36723</v>
      </c>
      <c r="M11" s="7">
        <v>41.627559001564308</v>
      </c>
    </row>
    <row r="12" spans="2:13" x14ac:dyDescent="0.3">
      <c r="B12" s="6" t="s">
        <v>275</v>
      </c>
      <c r="C12" s="22">
        <v>490</v>
      </c>
      <c r="D12" s="9">
        <v>287436.10000000009</v>
      </c>
      <c r="E12" s="9">
        <v>114457.10000000021</v>
      </c>
      <c r="H12" s="6" t="s">
        <v>72</v>
      </c>
      <c r="I12" s="8">
        <v>26</v>
      </c>
      <c r="J12" s="8">
        <v>29</v>
      </c>
      <c r="K12" s="9">
        <v>12391.1</v>
      </c>
      <c r="L12" s="9">
        <v>6301.1</v>
      </c>
      <c r="M12" s="7">
        <v>50.851821065119317</v>
      </c>
    </row>
    <row r="13" spans="2:13" x14ac:dyDescent="0.3">
      <c r="H13" s="6" t="s">
        <v>47</v>
      </c>
      <c r="I13" s="8">
        <v>34</v>
      </c>
      <c r="J13" s="8">
        <v>77</v>
      </c>
      <c r="K13" s="9">
        <v>14723</v>
      </c>
      <c r="L13" s="9">
        <v>7408</v>
      </c>
      <c r="M13" s="7">
        <v>50.315832371120017</v>
      </c>
    </row>
    <row r="14" spans="2:13" x14ac:dyDescent="0.3">
      <c r="B14" s="5" t="s">
        <v>261</v>
      </c>
      <c r="C14" s="1" t="s">
        <v>264</v>
      </c>
      <c r="D14" s="1" t="s">
        <v>263</v>
      </c>
      <c r="E14" s="1" t="s">
        <v>267</v>
      </c>
      <c r="H14" s="6" t="s">
        <v>61</v>
      </c>
      <c r="I14" s="8">
        <v>36</v>
      </c>
      <c r="J14" s="8">
        <v>42</v>
      </c>
      <c r="K14" s="9">
        <v>35818.899999999994</v>
      </c>
      <c r="L14" s="9">
        <v>13978.900000000001</v>
      </c>
      <c r="M14" s="7">
        <v>39.026603273690711</v>
      </c>
    </row>
    <row r="15" spans="2:13" x14ac:dyDescent="0.3">
      <c r="B15" s="6" t="s">
        <v>13</v>
      </c>
      <c r="C15" s="22">
        <v>163</v>
      </c>
      <c r="D15" s="9">
        <v>116053.20000000003</v>
      </c>
      <c r="E15" s="9">
        <v>711.98282208588978</v>
      </c>
      <c r="H15" s="6" t="s">
        <v>78</v>
      </c>
      <c r="I15" s="8">
        <v>25</v>
      </c>
      <c r="J15" s="8">
        <v>25</v>
      </c>
      <c r="K15" s="9">
        <v>25285</v>
      </c>
      <c r="L15" s="9">
        <v>9035</v>
      </c>
      <c r="M15" s="7">
        <v>35.732647814910024</v>
      </c>
    </row>
    <row r="16" spans="2:13" x14ac:dyDescent="0.3">
      <c r="B16" s="6" t="s">
        <v>20</v>
      </c>
      <c r="C16" s="22">
        <v>35</v>
      </c>
      <c r="D16" s="9">
        <v>29546.799999999996</v>
      </c>
      <c r="E16" s="9">
        <v>844.19428571428557</v>
      </c>
      <c r="H16" s="6" t="s">
        <v>44</v>
      </c>
      <c r="I16" s="8">
        <v>241</v>
      </c>
      <c r="J16" s="8">
        <v>304</v>
      </c>
      <c r="K16" s="9">
        <v>184841.09999999998</v>
      </c>
      <c r="L16" s="9">
        <v>69501.099999999991</v>
      </c>
      <c r="M16" s="7">
        <v>37.600457906818335</v>
      </c>
    </row>
    <row r="17" spans="2:13" x14ac:dyDescent="0.3">
      <c r="B17" s="6" t="s">
        <v>12</v>
      </c>
      <c r="C17" s="22">
        <v>32</v>
      </c>
      <c r="D17" s="9">
        <v>23733.199999999997</v>
      </c>
      <c r="E17" s="9">
        <v>741.66249999999991</v>
      </c>
      <c r="H17" s="6" t="s">
        <v>43</v>
      </c>
      <c r="I17" s="8">
        <v>40</v>
      </c>
      <c r="J17" s="8">
        <v>71</v>
      </c>
      <c r="K17" s="9">
        <v>24010.999999999996</v>
      </c>
      <c r="L17" s="9">
        <v>12296.000000000004</v>
      </c>
      <c r="M17" s="7">
        <v>51.209862146516208</v>
      </c>
    </row>
    <row r="18" spans="2:13" x14ac:dyDescent="0.3">
      <c r="B18" s="6" t="s">
        <v>27</v>
      </c>
      <c r="C18" s="22">
        <v>46</v>
      </c>
      <c r="D18" s="9">
        <v>31349.199999999993</v>
      </c>
      <c r="E18" s="9">
        <v>681.50434782608681</v>
      </c>
      <c r="H18" s="6" t="s">
        <v>69</v>
      </c>
      <c r="I18" s="8">
        <v>30</v>
      </c>
      <c r="J18" s="8">
        <v>37</v>
      </c>
      <c r="K18" s="9">
        <v>8037.9000000000033</v>
      </c>
      <c r="L18" s="9">
        <v>3967.8999999999987</v>
      </c>
      <c r="M18" s="7">
        <v>49.364883862700424</v>
      </c>
    </row>
    <row r="19" spans="2:13" x14ac:dyDescent="0.3">
      <c r="B19" s="6" t="s">
        <v>7</v>
      </c>
      <c r="C19" s="22">
        <v>50</v>
      </c>
      <c r="D19" s="9">
        <v>31424</v>
      </c>
      <c r="E19" s="9">
        <v>628.48</v>
      </c>
      <c r="H19" s="6" t="s">
        <v>58</v>
      </c>
      <c r="I19" s="8">
        <v>33</v>
      </c>
      <c r="J19" s="8">
        <v>43</v>
      </c>
      <c r="K19" s="9">
        <v>21638.1</v>
      </c>
      <c r="L19" s="9">
        <v>10458.100000000002</v>
      </c>
      <c r="M19" s="7">
        <v>48.331877567808647</v>
      </c>
    </row>
    <row r="20" spans="2:13" x14ac:dyDescent="0.3">
      <c r="B20" s="6" t="s">
        <v>30</v>
      </c>
      <c r="C20" s="22">
        <v>100</v>
      </c>
      <c r="D20" s="9">
        <v>68978</v>
      </c>
      <c r="E20" s="9">
        <v>689.78</v>
      </c>
      <c r="H20" s="6" t="s">
        <v>80</v>
      </c>
      <c r="I20" s="8">
        <v>23</v>
      </c>
      <c r="J20" s="8">
        <v>29</v>
      </c>
      <c r="K20" s="9">
        <v>5196.1000000000004</v>
      </c>
      <c r="L20" s="9">
        <v>2441.1</v>
      </c>
      <c r="M20" s="7">
        <v>46.979465368256953</v>
      </c>
    </row>
    <row r="21" spans="2:13" x14ac:dyDescent="0.3">
      <c r="B21" s="6" t="s">
        <v>20</v>
      </c>
      <c r="C21" s="22">
        <v>20</v>
      </c>
      <c r="D21" s="9">
        <v>15811.1</v>
      </c>
      <c r="E21" s="9">
        <v>790.55500000000006</v>
      </c>
      <c r="H21" s="6" t="s">
        <v>76</v>
      </c>
      <c r="I21" s="8">
        <v>29</v>
      </c>
      <c r="J21" s="8">
        <v>29</v>
      </c>
      <c r="K21" s="9">
        <v>16112.100000000004</v>
      </c>
      <c r="L21" s="9">
        <v>5962.1000000000013</v>
      </c>
      <c r="M21" s="7">
        <v>37.003866659218851</v>
      </c>
    </row>
    <row r="22" spans="2:13" x14ac:dyDescent="0.3">
      <c r="B22" s="6" t="s">
        <v>7</v>
      </c>
      <c r="C22" s="22">
        <v>74</v>
      </c>
      <c r="D22" s="9">
        <v>50039.699999999983</v>
      </c>
      <c r="E22" s="9">
        <v>676.21216216216192</v>
      </c>
      <c r="H22" s="6" t="s">
        <v>55</v>
      </c>
      <c r="I22" s="8">
        <v>31</v>
      </c>
      <c r="J22" s="8">
        <v>31</v>
      </c>
      <c r="K22" s="9">
        <v>37279</v>
      </c>
      <c r="L22" s="9">
        <v>11859</v>
      </c>
      <c r="M22" s="7">
        <v>31.811475629711101</v>
      </c>
    </row>
    <row r="23" spans="2:13" x14ac:dyDescent="0.3">
      <c r="B23" s="23" t="s">
        <v>12</v>
      </c>
      <c r="C23" s="22">
        <v>6</v>
      </c>
      <c r="D23" s="9">
        <v>3127.2</v>
      </c>
      <c r="E23" s="9">
        <v>521.19999999999993</v>
      </c>
      <c r="H23" s="6" t="s">
        <v>85</v>
      </c>
      <c r="I23" s="8">
        <v>21</v>
      </c>
      <c r="J23" s="8">
        <v>21</v>
      </c>
      <c r="K23" s="9">
        <v>42459.1</v>
      </c>
      <c r="L23" s="9">
        <v>13479.1</v>
      </c>
      <c r="M23" s="7">
        <v>31.746080345556077</v>
      </c>
    </row>
    <row r="24" spans="2:13" x14ac:dyDescent="0.3">
      <c r="B24" s="6" t="s">
        <v>8</v>
      </c>
      <c r="C24" s="22">
        <v>84</v>
      </c>
      <c r="D24" s="9">
        <v>54884.199999999975</v>
      </c>
      <c r="E24" s="9">
        <v>653.38333333333298</v>
      </c>
      <c r="F24" s="2"/>
      <c r="G24" s="2"/>
      <c r="H24" s="6" t="s">
        <v>66</v>
      </c>
      <c r="I24" s="8">
        <v>34</v>
      </c>
      <c r="J24" s="8">
        <v>43</v>
      </c>
      <c r="K24" s="9">
        <v>30107.799999999996</v>
      </c>
      <c r="L24" s="9">
        <v>9037.8000000000011</v>
      </c>
      <c r="M24" s="7">
        <v>30.018134835491146</v>
      </c>
    </row>
    <row r="25" spans="2:13" x14ac:dyDescent="0.3">
      <c r="B25" s="6" t="s">
        <v>7</v>
      </c>
      <c r="C25" s="22">
        <v>84</v>
      </c>
      <c r="D25" s="9">
        <v>54884.199999999975</v>
      </c>
      <c r="E25" s="9">
        <v>653.38333333333298</v>
      </c>
      <c r="F25" s="2"/>
      <c r="G25" s="2"/>
    </row>
    <row r="26" spans="2:13" x14ac:dyDescent="0.3">
      <c r="B26" s="6" t="s">
        <v>101</v>
      </c>
      <c r="C26" s="22">
        <v>143</v>
      </c>
      <c r="D26" s="9">
        <v>47520.699999999983</v>
      </c>
      <c r="E26" s="9">
        <v>332.31258741258728</v>
      </c>
      <c r="H26" s="14" t="s">
        <v>261</v>
      </c>
      <c r="I26" s="1" t="s">
        <v>263</v>
      </c>
      <c r="J26" s="1" t="s">
        <v>268</v>
      </c>
    </row>
    <row r="27" spans="2:13" x14ac:dyDescent="0.3">
      <c r="B27" s="6" t="s">
        <v>265</v>
      </c>
      <c r="C27" s="22">
        <v>143</v>
      </c>
      <c r="D27" s="9">
        <v>47520.699999999983</v>
      </c>
      <c r="E27" s="9">
        <v>332.31258741258728</v>
      </c>
      <c r="H27" s="15" t="s">
        <v>85</v>
      </c>
      <c r="I27" s="9">
        <v>42459.1</v>
      </c>
      <c r="J27" s="7">
        <v>31.746080345556077</v>
      </c>
    </row>
    <row r="28" spans="2:13" x14ac:dyDescent="0.3">
      <c r="H28" s="15" t="s">
        <v>55</v>
      </c>
      <c r="I28" s="9">
        <v>37279</v>
      </c>
      <c r="J28" s="7">
        <v>31.811475629711101</v>
      </c>
    </row>
    <row r="29" spans="2:13" x14ac:dyDescent="0.3">
      <c r="B29" s="5" t="s">
        <v>261</v>
      </c>
      <c r="C29" s="1" t="s">
        <v>264</v>
      </c>
      <c r="D29" s="1" t="s">
        <v>263</v>
      </c>
      <c r="H29" s="15" t="s">
        <v>61</v>
      </c>
      <c r="I29" s="9">
        <v>35818.899999999994</v>
      </c>
      <c r="J29" s="7">
        <v>39.026603273690711</v>
      </c>
    </row>
    <row r="30" spans="2:13" x14ac:dyDescent="0.3">
      <c r="B30" s="6" t="s">
        <v>13</v>
      </c>
      <c r="C30" s="22">
        <v>163</v>
      </c>
      <c r="D30" s="9">
        <v>116053.20000000006</v>
      </c>
      <c r="H30" s="15" t="s">
        <v>66</v>
      </c>
      <c r="I30" s="9">
        <v>30107.799999999996</v>
      </c>
      <c r="J30" s="7">
        <v>30.018134835491146</v>
      </c>
    </row>
    <row r="31" spans="2:13" x14ac:dyDescent="0.3">
      <c r="B31" s="6" t="s">
        <v>30</v>
      </c>
      <c r="C31" s="22">
        <v>100</v>
      </c>
      <c r="D31" s="9">
        <v>68977.999999999985</v>
      </c>
      <c r="H31" s="15" t="s">
        <v>78</v>
      </c>
      <c r="I31" s="9">
        <v>25285</v>
      </c>
      <c r="J31" s="7">
        <v>35.732647814910024</v>
      </c>
    </row>
    <row r="32" spans="2:13" x14ac:dyDescent="0.3">
      <c r="B32" s="6" t="s">
        <v>8</v>
      </c>
      <c r="C32" s="22">
        <v>84</v>
      </c>
      <c r="D32" s="9">
        <v>54884.199999999975</v>
      </c>
      <c r="H32" s="15" t="s">
        <v>43</v>
      </c>
      <c r="I32" s="9">
        <v>24010.999999999996</v>
      </c>
      <c r="J32" s="7">
        <v>51.209862146516208</v>
      </c>
    </row>
    <row r="33" spans="2:10" x14ac:dyDescent="0.3">
      <c r="B33" s="6" t="s">
        <v>101</v>
      </c>
      <c r="C33" s="22">
        <v>143</v>
      </c>
      <c r="D33" s="9">
        <v>47520.699999999983</v>
      </c>
      <c r="H33" s="15" t="s">
        <v>58</v>
      </c>
      <c r="I33" s="9">
        <v>21638.1</v>
      </c>
      <c r="J33" s="7">
        <v>48.331877567808647</v>
      </c>
    </row>
    <row r="34" spans="2:10" ht="15" thickBot="1" x14ac:dyDescent="0.35">
      <c r="H34" s="15" t="s">
        <v>76</v>
      </c>
      <c r="I34" s="9">
        <v>16112.100000000004</v>
      </c>
      <c r="J34" s="7">
        <v>37.003866659218851</v>
      </c>
    </row>
    <row r="35" spans="2:10" x14ac:dyDescent="0.3">
      <c r="B35" s="1" t="s">
        <v>273</v>
      </c>
      <c r="C35" s="1" t="s">
        <v>272</v>
      </c>
      <c r="D35" s="10" t="s">
        <v>274</v>
      </c>
      <c r="H35" s="15" t="s">
        <v>47</v>
      </c>
      <c r="I35" s="9">
        <v>14723</v>
      </c>
      <c r="J35" s="7">
        <v>50.315832371120017</v>
      </c>
    </row>
    <row r="36" spans="2:10" x14ac:dyDescent="0.3">
      <c r="B36" s="22">
        <v>369</v>
      </c>
      <c r="C36" s="22">
        <v>368</v>
      </c>
      <c r="D36" s="11">
        <v>0.9910714285714286</v>
      </c>
      <c r="H36" s="15" t="s">
        <v>72</v>
      </c>
      <c r="I36" s="9">
        <v>12391.1</v>
      </c>
      <c r="J36" s="7">
        <v>50.851821065119317</v>
      </c>
    </row>
    <row r="37" spans="2:10" x14ac:dyDescent="0.3">
      <c r="H37" s="15" t="s">
        <v>69</v>
      </c>
      <c r="I37" s="9">
        <v>8037.9000000000033</v>
      </c>
      <c r="J37" s="7">
        <v>49.364883862700424</v>
      </c>
    </row>
    <row r="38" spans="2:10" x14ac:dyDescent="0.3">
      <c r="B38" s="19" t="s">
        <v>261</v>
      </c>
      <c r="C38" s="1" t="s">
        <v>276</v>
      </c>
      <c r="D38" s="1" t="s">
        <v>277</v>
      </c>
      <c r="H38" s="15" t="s">
        <v>80</v>
      </c>
      <c r="I38" s="9">
        <v>5196.1000000000004</v>
      </c>
      <c r="J38" s="7">
        <v>46.979465368256953</v>
      </c>
    </row>
    <row r="39" spans="2:10" x14ac:dyDescent="0.3">
      <c r="B39" s="1" t="s">
        <v>9</v>
      </c>
      <c r="C39" s="22">
        <v>128</v>
      </c>
      <c r="D39" s="22">
        <v>127</v>
      </c>
      <c r="H39" s="15" t="s">
        <v>51</v>
      </c>
      <c r="I39" s="9">
        <v>4788</v>
      </c>
      <c r="J39" s="7">
        <v>59.022556390977442</v>
      </c>
    </row>
    <row r="40" spans="2:10" x14ac:dyDescent="0.3">
      <c r="B40" s="1" t="s">
        <v>14</v>
      </c>
      <c r="C40" s="22">
        <v>123</v>
      </c>
      <c r="D40" s="22">
        <v>123</v>
      </c>
      <c r="H40" s="15" t="s">
        <v>82</v>
      </c>
      <c r="I40" s="9">
        <v>4361</v>
      </c>
      <c r="J40" s="7">
        <v>51.845906902086668</v>
      </c>
    </row>
    <row r="41" spans="2:10" x14ac:dyDescent="0.3">
      <c r="B41" s="1" t="s">
        <v>17</v>
      </c>
      <c r="C41" s="22">
        <v>118</v>
      </c>
      <c r="D41" s="22">
        <v>118</v>
      </c>
      <c r="H41" s="15" t="s">
        <v>64</v>
      </c>
      <c r="I41" s="9">
        <v>2958</v>
      </c>
      <c r="J41" s="7">
        <v>62.068965517241381</v>
      </c>
    </row>
    <row r="42" spans="2:10" x14ac:dyDescent="0.3">
      <c r="B42" s="1" t="s">
        <v>275</v>
      </c>
      <c r="C42" s="22">
        <v>369</v>
      </c>
      <c r="D42" s="22">
        <v>368</v>
      </c>
      <c r="H42" s="15" t="s">
        <v>74</v>
      </c>
      <c r="I42" s="9">
        <v>2270</v>
      </c>
      <c r="J42" s="7">
        <v>57.709251101321591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55A9D-83E1-4A33-81F3-1ABBA931E0D4}">
  <dimension ref="A1:Y491"/>
  <sheetViews>
    <sheetView workbookViewId="0">
      <selection activeCell="Z2" sqref="Z2"/>
    </sheetView>
  </sheetViews>
  <sheetFormatPr defaultRowHeight="14.4" x14ac:dyDescent="0.3"/>
  <cols>
    <col min="1" max="1" width="25.109375" style="2" bestFit="1" customWidth="1"/>
    <col min="2" max="2" width="12.109375" style="2" bestFit="1" customWidth="1"/>
    <col min="3" max="3" width="12.5546875" style="2" bestFit="1" customWidth="1"/>
    <col min="4" max="4" width="14.77734375" style="2" bestFit="1" customWidth="1"/>
    <col min="5" max="5" width="15.88671875" style="2" bestFit="1" customWidth="1"/>
    <col min="6" max="6" width="26.77734375" style="2" bestFit="1" customWidth="1"/>
    <col min="7" max="7" width="8.33203125" style="2" bestFit="1" customWidth="1"/>
    <col min="8" max="8" width="12.5546875" style="2" bestFit="1" customWidth="1"/>
    <col min="9" max="9" width="13.88671875" style="2" bestFit="1" customWidth="1"/>
    <col min="10" max="10" width="20.44140625" style="2" bestFit="1" customWidth="1"/>
    <col min="11" max="11" width="10.44140625" style="2" bestFit="1" customWidth="1"/>
    <col min="12" max="12" width="9.21875" style="2" bestFit="1" customWidth="1"/>
    <col min="13" max="13" width="12.6640625" style="2" bestFit="1" customWidth="1"/>
    <col min="14" max="14" width="19.88671875" style="2" bestFit="1" customWidth="1"/>
    <col min="15" max="15" width="35.6640625" style="2" bestFit="1" customWidth="1"/>
    <col min="16" max="16" width="15.109375" style="2" bestFit="1" customWidth="1"/>
    <col min="17" max="17" width="15.77734375" style="2" bestFit="1" customWidth="1"/>
    <col min="18" max="18" width="14" style="2" bestFit="1" customWidth="1"/>
    <col min="19" max="19" width="16.109375" style="2" bestFit="1" customWidth="1"/>
    <col min="20" max="20" width="10.109375" style="4" bestFit="1" customWidth="1"/>
    <col min="21" max="21" width="11.33203125" style="2" bestFit="1" customWidth="1"/>
    <col min="22" max="22" width="16.6640625" style="2" bestFit="1" customWidth="1"/>
    <col min="23" max="23" width="13.6640625" style="2" bestFit="1" customWidth="1"/>
    <col min="24" max="24" width="13.44140625" style="2" bestFit="1" customWidth="1"/>
    <col min="25" max="25" width="10.88671875" style="2" customWidth="1"/>
  </cols>
  <sheetData>
    <row r="1" spans="1:25" x14ac:dyDescent="0.3">
      <c r="A1" t="s">
        <v>278</v>
      </c>
      <c r="B1" s="2" t="s">
        <v>260</v>
      </c>
      <c r="C1" s="2" t="s">
        <v>86</v>
      </c>
      <c r="D1" s="2" t="s">
        <v>87</v>
      </c>
      <c r="E1" s="2" t="s">
        <v>0</v>
      </c>
      <c r="F1" s="2" t="s">
        <v>1</v>
      </c>
      <c r="G1" s="2" t="s">
        <v>37</v>
      </c>
      <c r="H1" s="2" t="s">
        <v>88</v>
      </c>
      <c r="I1" s="2" t="s">
        <v>89</v>
      </c>
      <c r="J1" s="2" t="s">
        <v>90</v>
      </c>
      <c r="K1" s="2" t="s">
        <v>91</v>
      </c>
      <c r="L1" s="2" t="s">
        <v>2</v>
      </c>
      <c r="M1" s="2" t="s">
        <v>3</v>
      </c>
      <c r="N1" s="2" t="s">
        <v>4</v>
      </c>
      <c r="O1" s="2" t="s">
        <v>38</v>
      </c>
      <c r="P1" s="2" t="s">
        <v>39</v>
      </c>
      <c r="Q1" s="2" t="s">
        <v>40</v>
      </c>
      <c r="R1" s="2" t="s">
        <v>41</v>
      </c>
      <c r="S1" s="2" t="s">
        <v>92</v>
      </c>
      <c r="T1" s="2" t="s">
        <v>93</v>
      </c>
      <c r="U1" s="4" t="s">
        <v>94</v>
      </c>
      <c r="V1" s="2" t="s">
        <v>95</v>
      </c>
      <c r="W1" t="s">
        <v>266</v>
      </c>
      <c r="X1" t="s">
        <v>270</v>
      </c>
      <c r="Y1" t="s">
        <v>271</v>
      </c>
    </row>
    <row r="2" spans="1:25" x14ac:dyDescent="0.3">
      <c r="A2" s="20" t="s">
        <v>279</v>
      </c>
      <c r="B2" s="21" t="s">
        <v>9</v>
      </c>
      <c r="C2" s="21" t="s">
        <v>280</v>
      </c>
      <c r="D2" s="3">
        <v>45689</v>
      </c>
      <c r="E2" s="21" t="s">
        <v>5</v>
      </c>
      <c r="F2" s="21" t="s">
        <v>6</v>
      </c>
      <c r="G2" s="21" t="s">
        <v>54</v>
      </c>
      <c r="H2" s="2">
        <v>1</v>
      </c>
      <c r="I2" s="2">
        <v>1299</v>
      </c>
      <c r="J2" s="2">
        <v>130</v>
      </c>
      <c r="K2" s="21" t="s">
        <v>97</v>
      </c>
      <c r="L2" s="21" t="s">
        <v>7</v>
      </c>
      <c r="M2" s="21" t="s">
        <v>8</v>
      </c>
      <c r="N2" s="3">
        <v>44635</v>
      </c>
      <c r="O2" s="21" t="s">
        <v>55</v>
      </c>
      <c r="P2" s="21" t="s">
        <v>44</v>
      </c>
      <c r="Q2" s="21" t="s">
        <v>56</v>
      </c>
      <c r="R2" s="2">
        <v>820</v>
      </c>
      <c r="S2" s="2">
        <v>1169</v>
      </c>
      <c r="T2" s="2">
        <v>349</v>
      </c>
      <c r="U2" s="4">
        <v>29.854576561163388</v>
      </c>
      <c r="V2" s="21" t="s">
        <v>281</v>
      </c>
      <c r="W2">
        <v>1</v>
      </c>
      <c r="X2">
        <v>52</v>
      </c>
      <c r="Y2" s="20">
        <v>1</v>
      </c>
    </row>
    <row r="3" spans="1:25" x14ac:dyDescent="0.3">
      <c r="A3" s="20" t="s">
        <v>279</v>
      </c>
      <c r="B3" s="21" t="s">
        <v>9</v>
      </c>
      <c r="C3" s="21" t="s">
        <v>282</v>
      </c>
      <c r="D3" s="3">
        <v>45694</v>
      </c>
      <c r="E3" s="21" t="s">
        <v>5</v>
      </c>
      <c r="F3" s="21" t="s">
        <v>6</v>
      </c>
      <c r="G3" s="21" t="s">
        <v>73</v>
      </c>
      <c r="H3" s="2">
        <v>5</v>
      </c>
      <c r="I3" s="2">
        <v>19</v>
      </c>
      <c r="J3" s="2">
        <v>0</v>
      </c>
      <c r="K3" s="21" t="s">
        <v>97</v>
      </c>
      <c r="L3" s="21" t="s">
        <v>7</v>
      </c>
      <c r="M3" s="21" t="s">
        <v>8</v>
      </c>
      <c r="N3" s="3">
        <v>44635</v>
      </c>
      <c r="O3" s="21" t="s">
        <v>74</v>
      </c>
      <c r="P3" s="21" t="s">
        <v>52</v>
      </c>
      <c r="Q3" s="21" t="s">
        <v>62</v>
      </c>
      <c r="R3" s="2">
        <v>8</v>
      </c>
      <c r="S3" s="2">
        <v>95</v>
      </c>
      <c r="T3" s="2">
        <v>55</v>
      </c>
      <c r="U3" s="4">
        <v>57.894736842105267</v>
      </c>
      <c r="V3" s="21" t="s">
        <v>281</v>
      </c>
      <c r="W3">
        <v>1</v>
      </c>
      <c r="X3">
        <v>52</v>
      </c>
      <c r="Y3" s="20">
        <v>1</v>
      </c>
    </row>
    <row r="4" spans="1:25" x14ac:dyDescent="0.3">
      <c r="A4" s="20" t="s">
        <v>279</v>
      </c>
      <c r="B4" s="21" t="s">
        <v>9</v>
      </c>
      <c r="C4" s="21" t="s">
        <v>283</v>
      </c>
      <c r="D4" s="3">
        <v>45689</v>
      </c>
      <c r="E4" s="21" t="s">
        <v>10</v>
      </c>
      <c r="F4" s="21" t="s">
        <v>11</v>
      </c>
      <c r="G4" s="21" t="s">
        <v>42</v>
      </c>
      <c r="H4" s="2">
        <v>2</v>
      </c>
      <c r="I4" s="2">
        <v>349</v>
      </c>
      <c r="J4" s="2">
        <v>0</v>
      </c>
      <c r="K4" s="21" t="s">
        <v>97</v>
      </c>
      <c r="L4" s="21" t="s">
        <v>12</v>
      </c>
      <c r="M4" s="21" t="s">
        <v>13</v>
      </c>
      <c r="N4" s="3">
        <v>44744</v>
      </c>
      <c r="O4" s="21" t="s">
        <v>43</v>
      </c>
      <c r="P4" s="21" t="s">
        <v>44</v>
      </c>
      <c r="Q4" s="21" t="s">
        <v>45</v>
      </c>
      <c r="R4" s="2">
        <v>165</v>
      </c>
      <c r="S4" s="2">
        <v>698</v>
      </c>
      <c r="T4" s="2">
        <v>368</v>
      </c>
      <c r="U4" s="4">
        <v>52.722063037249278</v>
      </c>
      <c r="V4" s="21" t="s">
        <v>281</v>
      </c>
      <c r="W4">
        <v>1</v>
      </c>
      <c r="X4">
        <v>32</v>
      </c>
      <c r="Y4" s="20">
        <v>1</v>
      </c>
    </row>
    <row r="5" spans="1:25" x14ac:dyDescent="0.3">
      <c r="A5" s="20" t="s">
        <v>279</v>
      </c>
      <c r="B5" s="21" t="s">
        <v>9</v>
      </c>
      <c r="C5" s="21" t="s">
        <v>284</v>
      </c>
      <c r="D5" s="3">
        <v>45696</v>
      </c>
      <c r="E5" s="21" t="s">
        <v>10</v>
      </c>
      <c r="F5" s="21" t="s">
        <v>11</v>
      </c>
      <c r="G5" s="21" t="s">
        <v>77</v>
      </c>
      <c r="H5" s="2">
        <v>1</v>
      </c>
      <c r="I5" s="2">
        <v>1099</v>
      </c>
      <c r="J5" s="2">
        <v>110</v>
      </c>
      <c r="K5" s="21" t="s">
        <v>97</v>
      </c>
      <c r="L5" s="21" t="s">
        <v>12</v>
      </c>
      <c r="M5" s="21" t="s">
        <v>13</v>
      </c>
      <c r="N5" s="3">
        <v>44744</v>
      </c>
      <c r="O5" s="21" t="s">
        <v>78</v>
      </c>
      <c r="P5" s="21" t="s">
        <v>48</v>
      </c>
      <c r="Q5" s="21" t="s">
        <v>62</v>
      </c>
      <c r="R5" s="2">
        <v>650</v>
      </c>
      <c r="S5" s="2">
        <v>989</v>
      </c>
      <c r="T5" s="2">
        <v>339</v>
      </c>
      <c r="U5" s="4">
        <v>34.277047522750252</v>
      </c>
      <c r="V5" s="21" t="s">
        <v>281</v>
      </c>
      <c r="W5">
        <v>1</v>
      </c>
      <c r="X5">
        <v>32</v>
      </c>
      <c r="Y5" s="20">
        <v>1</v>
      </c>
    </row>
    <row r="6" spans="1:25" x14ac:dyDescent="0.3">
      <c r="A6" s="20" t="s">
        <v>279</v>
      </c>
      <c r="B6" s="21" t="s">
        <v>9</v>
      </c>
      <c r="C6" s="21" t="s">
        <v>286</v>
      </c>
      <c r="D6" s="3">
        <v>45690</v>
      </c>
      <c r="E6" s="21" t="s">
        <v>21</v>
      </c>
      <c r="F6" s="21" t="s">
        <v>22</v>
      </c>
      <c r="G6" s="21" t="s">
        <v>60</v>
      </c>
      <c r="H6" s="2">
        <v>1</v>
      </c>
      <c r="I6" s="2">
        <v>899</v>
      </c>
      <c r="J6" s="2">
        <v>90</v>
      </c>
      <c r="K6" s="21" t="s">
        <v>97</v>
      </c>
      <c r="L6" s="21" t="s">
        <v>7</v>
      </c>
      <c r="M6" s="21" t="s">
        <v>8</v>
      </c>
      <c r="N6" s="3">
        <v>44948</v>
      </c>
      <c r="O6" s="21" t="s">
        <v>61</v>
      </c>
      <c r="P6" s="21" t="s">
        <v>48</v>
      </c>
      <c r="Q6" s="21" t="s">
        <v>62</v>
      </c>
      <c r="R6" s="2">
        <v>520</v>
      </c>
      <c r="S6" s="2">
        <v>809</v>
      </c>
      <c r="T6" s="2">
        <v>289</v>
      </c>
      <c r="U6" s="4">
        <v>35.723114956736715</v>
      </c>
      <c r="V6" s="21" t="s">
        <v>281</v>
      </c>
      <c r="W6">
        <v>1</v>
      </c>
      <c r="X6">
        <v>32</v>
      </c>
      <c r="Y6" s="20">
        <v>1</v>
      </c>
    </row>
    <row r="7" spans="1:25" x14ac:dyDescent="0.3">
      <c r="A7" s="20" t="s">
        <v>279</v>
      </c>
      <c r="B7" s="21" t="s">
        <v>9</v>
      </c>
      <c r="C7" s="21" t="s">
        <v>287</v>
      </c>
      <c r="D7" s="3">
        <v>45695</v>
      </c>
      <c r="E7" s="21" t="s">
        <v>21</v>
      </c>
      <c r="F7" s="21" t="s">
        <v>22</v>
      </c>
      <c r="G7" s="21" t="s">
        <v>79</v>
      </c>
      <c r="H7" s="2">
        <v>1</v>
      </c>
      <c r="I7" s="2">
        <v>189</v>
      </c>
      <c r="J7" s="2">
        <v>0</v>
      </c>
      <c r="K7" s="21" t="s">
        <v>97</v>
      </c>
      <c r="L7" s="21" t="s">
        <v>7</v>
      </c>
      <c r="M7" s="21" t="s">
        <v>8</v>
      </c>
      <c r="N7" s="3">
        <v>44948</v>
      </c>
      <c r="O7" s="21" t="s">
        <v>80</v>
      </c>
      <c r="P7" s="21" t="s">
        <v>44</v>
      </c>
      <c r="Q7" s="21" t="s">
        <v>70</v>
      </c>
      <c r="R7" s="2">
        <v>95</v>
      </c>
      <c r="S7" s="2">
        <v>189</v>
      </c>
      <c r="T7" s="2">
        <v>94</v>
      </c>
      <c r="U7" s="4">
        <v>49.735449735449734</v>
      </c>
      <c r="V7" s="21" t="s">
        <v>281</v>
      </c>
      <c r="W7">
        <v>1</v>
      </c>
      <c r="X7">
        <v>32</v>
      </c>
      <c r="Y7" s="20">
        <v>1</v>
      </c>
    </row>
    <row r="8" spans="1:25" x14ac:dyDescent="0.3">
      <c r="A8" s="20" t="s">
        <v>279</v>
      </c>
      <c r="B8" s="21" t="s">
        <v>9</v>
      </c>
      <c r="C8" s="21" t="s">
        <v>292</v>
      </c>
      <c r="D8" s="3">
        <v>45692</v>
      </c>
      <c r="E8" s="21" t="s">
        <v>15</v>
      </c>
      <c r="F8" s="21" t="s">
        <v>16</v>
      </c>
      <c r="G8" s="21" t="s">
        <v>46</v>
      </c>
      <c r="H8" s="2">
        <v>2</v>
      </c>
      <c r="I8" s="2">
        <v>199</v>
      </c>
      <c r="J8" s="2">
        <v>0</v>
      </c>
      <c r="K8" s="21" t="s">
        <v>97</v>
      </c>
      <c r="L8" s="21" t="s">
        <v>7</v>
      </c>
      <c r="M8" s="21" t="s">
        <v>13</v>
      </c>
      <c r="N8" s="3">
        <v>44883</v>
      </c>
      <c r="O8" s="21" t="s">
        <v>47</v>
      </c>
      <c r="P8" s="21" t="s">
        <v>48</v>
      </c>
      <c r="Q8" s="21" t="s">
        <v>49</v>
      </c>
      <c r="R8" s="2">
        <v>95</v>
      </c>
      <c r="S8" s="2">
        <v>398</v>
      </c>
      <c r="T8" s="2">
        <v>208</v>
      </c>
      <c r="U8" s="4">
        <v>52.261306532663319</v>
      </c>
      <c r="V8" s="21" t="s">
        <v>281</v>
      </c>
      <c r="W8">
        <v>1</v>
      </c>
      <c r="X8">
        <v>32</v>
      </c>
      <c r="Y8" s="20">
        <v>1</v>
      </c>
    </row>
    <row r="9" spans="1:25" x14ac:dyDescent="0.3">
      <c r="A9" s="20" t="s">
        <v>279</v>
      </c>
      <c r="B9" s="21" t="s">
        <v>9</v>
      </c>
      <c r="C9" s="21" t="s">
        <v>288</v>
      </c>
      <c r="D9" s="3">
        <v>45691</v>
      </c>
      <c r="E9" s="21" t="s">
        <v>289</v>
      </c>
      <c r="F9" s="21" t="s">
        <v>290</v>
      </c>
      <c r="G9" s="21" t="s">
        <v>65</v>
      </c>
      <c r="H9" s="2">
        <v>1</v>
      </c>
      <c r="I9" s="2">
        <v>749</v>
      </c>
      <c r="J9" s="2">
        <v>0</v>
      </c>
      <c r="K9" s="21" t="s">
        <v>97</v>
      </c>
      <c r="L9" s="21" t="s">
        <v>7</v>
      </c>
      <c r="M9" s="21" t="s">
        <v>30</v>
      </c>
      <c r="N9" s="3">
        <v>45685</v>
      </c>
      <c r="O9" s="21" t="s">
        <v>66</v>
      </c>
      <c r="P9" s="21" t="s">
        <v>44</v>
      </c>
      <c r="Q9" s="21" t="s">
        <v>67</v>
      </c>
      <c r="R9" s="2">
        <v>490</v>
      </c>
      <c r="S9" s="2">
        <v>749</v>
      </c>
      <c r="T9" s="2">
        <v>259</v>
      </c>
      <c r="U9" s="4">
        <v>34.579439252336449</v>
      </c>
      <c r="V9" s="21" t="s">
        <v>281</v>
      </c>
      <c r="W9">
        <v>1</v>
      </c>
      <c r="X9">
        <v>10</v>
      </c>
      <c r="Y9" s="20">
        <v>1</v>
      </c>
    </row>
    <row r="10" spans="1:25" x14ac:dyDescent="0.3">
      <c r="A10" s="20" t="s">
        <v>279</v>
      </c>
      <c r="B10" s="21" t="s">
        <v>9</v>
      </c>
      <c r="C10" s="21" t="s">
        <v>291</v>
      </c>
      <c r="D10" s="3">
        <v>45694</v>
      </c>
      <c r="E10" s="21" t="s">
        <v>289</v>
      </c>
      <c r="F10" s="21" t="s">
        <v>290</v>
      </c>
      <c r="G10" s="21" t="s">
        <v>71</v>
      </c>
      <c r="H10" s="2">
        <v>1</v>
      </c>
      <c r="I10" s="2">
        <v>459</v>
      </c>
      <c r="J10" s="2">
        <v>0</v>
      </c>
      <c r="K10" s="21" t="s">
        <v>97</v>
      </c>
      <c r="L10" s="21" t="s">
        <v>7</v>
      </c>
      <c r="M10" s="21" t="s">
        <v>30</v>
      </c>
      <c r="N10" s="3">
        <v>45685</v>
      </c>
      <c r="O10" s="21" t="s">
        <v>72</v>
      </c>
      <c r="P10" s="21" t="s">
        <v>48</v>
      </c>
      <c r="Q10" s="21" t="s">
        <v>49</v>
      </c>
      <c r="R10" s="2">
        <v>210</v>
      </c>
      <c r="S10" s="2">
        <v>459</v>
      </c>
      <c r="T10" s="2">
        <v>249</v>
      </c>
      <c r="U10" s="4">
        <v>54.248366013071895</v>
      </c>
      <c r="V10" s="21" t="s">
        <v>281</v>
      </c>
      <c r="W10">
        <v>1</v>
      </c>
      <c r="X10">
        <v>10</v>
      </c>
      <c r="Y10" s="20">
        <v>1</v>
      </c>
    </row>
    <row r="11" spans="1:25" x14ac:dyDescent="0.3">
      <c r="A11" s="20" t="s">
        <v>279</v>
      </c>
      <c r="B11" s="21" t="s">
        <v>9</v>
      </c>
      <c r="C11" s="21" t="s">
        <v>308</v>
      </c>
      <c r="D11" s="3">
        <v>45699</v>
      </c>
      <c r="E11" s="21" t="s">
        <v>289</v>
      </c>
      <c r="F11" s="21" t="s">
        <v>290</v>
      </c>
      <c r="G11" s="21" t="s">
        <v>65</v>
      </c>
      <c r="H11" s="2">
        <v>2</v>
      </c>
      <c r="I11" s="2">
        <v>749</v>
      </c>
      <c r="J11" s="2">
        <v>75</v>
      </c>
      <c r="K11" s="21" t="s">
        <v>97</v>
      </c>
      <c r="L11" s="21" t="s">
        <v>7</v>
      </c>
      <c r="M11" s="21" t="s">
        <v>30</v>
      </c>
      <c r="N11" s="3">
        <v>45685</v>
      </c>
      <c r="O11" s="21" t="s">
        <v>66</v>
      </c>
      <c r="P11" s="21" t="s">
        <v>44</v>
      </c>
      <c r="Q11" s="21" t="s">
        <v>67</v>
      </c>
      <c r="R11" s="2">
        <v>490</v>
      </c>
      <c r="S11" s="2">
        <v>1423</v>
      </c>
      <c r="T11" s="2">
        <v>443</v>
      </c>
      <c r="U11" s="4">
        <v>31.131412508784255</v>
      </c>
      <c r="V11" s="21" t="s">
        <v>281</v>
      </c>
      <c r="W11">
        <v>1</v>
      </c>
      <c r="X11">
        <v>10</v>
      </c>
      <c r="Y11" s="20">
        <v>1</v>
      </c>
    </row>
    <row r="12" spans="1:25" x14ac:dyDescent="0.3">
      <c r="A12" s="20" t="s">
        <v>279</v>
      </c>
      <c r="B12" s="21" t="s">
        <v>9</v>
      </c>
      <c r="C12" s="21" t="s">
        <v>294</v>
      </c>
      <c r="D12" s="3">
        <v>45690</v>
      </c>
      <c r="E12" s="21" t="s">
        <v>101</v>
      </c>
      <c r="F12" s="21" t="s">
        <v>295</v>
      </c>
      <c r="G12" s="21" t="s">
        <v>50</v>
      </c>
      <c r="H12" s="2">
        <v>3</v>
      </c>
      <c r="I12" s="2">
        <v>45</v>
      </c>
      <c r="J12" s="2">
        <v>0</v>
      </c>
      <c r="K12" s="21" t="s">
        <v>97</v>
      </c>
      <c r="L12" s="21" t="s">
        <v>265</v>
      </c>
      <c r="M12" s="21" t="s">
        <v>101</v>
      </c>
      <c r="N12" s="3"/>
      <c r="O12" s="21" t="s">
        <v>51</v>
      </c>
      <c r="P12" s="21" t="s">
        <v>52</v>
      </c>
      <c r="Q12" s="21" t="s">
        <v>53</v>
      </c>
      <c r="R12" s="2">
        <v>18</v>
      </c>
      <c r="S12" s="2">
        <v>135</v>
      </c>
      <c r="T12" s="2">
        <v>81</v>
      </c>
      <c r="U12" s="4">
        <v>60</v>
      </c>
      <c r="V12" s="21" t="s">
        <v>281</v>
      </c>
      <c r="W12">
        <v>1</v>
      </c>
      <c r="X12"/>
      <c r="Y12" s="20"/>
    </row>
    <row r="13" spans="1:25" x14ac:dyDescent="0.3">
      <c r="A13" s="20" t="s">
        <v>279</v>
      </c>
      <c r="B13" s="21" t="s">
        <v>9</v>
      </c>
      <c r="C13" s="21" t="s">
        <v>296</v>
      </c>
      <c r="D13" s="3">
        <v>45692</v>
      </c>
      <c r="E13" s="21" t="s">
        <v>101</v>
      </c>
      <c r="F13" s="21" t="s">
        <v>297</v>
      </c>
      <c r="G13" s="21" t="s">
        <v>63</v>
      </c>
      <c r="H13" s="2">
        <v>4</v>
      </c>
      <c r="I13" s="2">
        <v>29</v>
      </c>
      <c r="J13" s="2">
        <v>0</v>
      </c>
      <c r="K13" s="21" t="s">
        <v>97</v>
      </c>
      <c r="L13" s="21" t="s">
        <v>265</v>
      </c>
      <c r="M13" s="21" t="s">
        <v>101</v>
      </c>
      <c r="N13" s="3"/>
      <c r="O13" s="21" t="s">
        <v>64</v>
      </c>
      <c r="P13" s="21" t="s">
        <v>52</v>
      </c>
      <c r="Q13" s="21" t="s">
        <v>62</v>
      </c>
      <c r="R13" s="2">
        <v>11</v>
      </c>
      <c r="S13" s="2">
        <v>116</v>
      </c>
      <c r="T13" s="2">
        <v>72</v>
      </c>
      <c r="U13" s="4">
        <v>62.068965517241381</v>
      </c>
      <c r="V13" s="21" t="s">
        <v>281</v>
      </c>
      <c r="W13">
        <v>1</v>
      </c>
      <c r="X13"/>
      <c r="Y13" s="20"/>
    </row>
    <row r="14" spans="1:25" x14ac:dyDescent="0.3">
      <c r="A14" s="20" t="s">
        <v>279</v>
      </c>
      <c r="B14" s="21" t="s">
        <v>9</v>
      </c>
      <c r="C14" s="21" t="s">
        <v>305</v>
      </c>
      <c r="D14" s="3">
        <v>45698</v>
      </c>
      <c r="E14" s="21" t="s">
        <v>101</v>
      </c>
      <c r="F14" s="21" t="s">
        <v>306</v>
      </c>
      <c r="G14" s="21" t="s">
        <v>60</v>
      </c>
      <c r="H14" s="2">
        <v>1</v>
      </c>
      <c r="I14" s="2">
        <v>899</v>
      </c>
      <c r="J14" s="2">
        <v>0</v>
      </c>
      <c r="K14" s="21" t="s">
        <v>97</v>
      </c>
      <c r="L14" s="21" t="s">
        <v>265</v>
      </c>
      <c r="M14" s="21" t="s">
        <v>101</v>
      </c>
      <c r="N14" s="3"/>
      <c r="O14" s="21" t="s">
        <v>61</v>
      </c>
      <c r="P14" s="21" t="s">
        <v>48</v>
      </c>
      <c r="Q14" s="21" t="s">
        <v>62</v>
      </c>
      <c r="R14" s="2">
        <v>520</v>
      </c>
      <c r="S14" s="2">
        <v>899</v>
      </c>
      <c r="T14" s="2">
        <v>379</v>
      </c>
      <c r="U14" s="4">
        <v>42.157953281423808</v>
      </c>
      <c r="V14" s="21" t="s">
        <v>281</v>
      </c>
      <c r="W14">
        <v>1</v>
      </c>
      <c r="X14"/>
      <c r="Y14" s="20"/>
    </row>
    <row r="15" spans="1:25" x14ac:dyDescent="0.3">
      <c r="A15" s="20" t="s">
        <v>279</v>
      </c>
      <c r="B15" s="21" t="s">
        <v>9</v>
      </c>
      <c r="C15" s="21" t="s">
        <v>298</v>
      </c>
      <c r="D15" s="3">
        <v>45695</v>
      </c>
      <c r="E15" s="21" t="s">
        <v>101</v>
      </c>
      <c r="F15" s="21" t="s">
        <v>299</v>
      </c>
      <c r="G15" s="21" t="s">
        <v>75</v>
      </c>
      <c r="H15" s="2">
        <v>1</v>
      </c>
      <c r="I15" s="2">
        <v>599</v>
      </c>
      <c r="J15" s="2">
        <v>60</v>
      </c>
      <c r="K15" s="21" t="s">
        <v>97</v>
      </c>
      <c r="L15" s="21" t="s">
        <v>265</v>
      </c>
      <c r="M15" s="21" t="s">
        <v>101</v>
      </c>
      <c r="N15" s="3"/>
      <c r="O15" s="21" t="s">
        <v>76</v>
      </c>
      <c r="P15" s="21" t="s">
        <v>44</v>
      </c>
      <c r="Q15" s="21" t="s">
        <v>59</v>
      </c>
      <c r="R15" s="2">
        <v>350</v>
      </c>
      <c r="S15" s="2">
        <v>539</v>
      </c>
      <c r="T15" s="2">
        <v>189</v>
      </c>
      <c r="U15" s="4">
        <v>35.064935064935064</v>
      </c>
      <c r="V15" s="21" t="s">
        <v>281</v>
      </c>
      <c r="W15">
        <v>1</v>
      </c>
      <c r="X15"/>
      <c r="Y15" s="20"/>
    </row>
    <row r="16" spans="1:25" x14ac:dyDescent="0.3">
      <c r="A16" s="20" t="s">
        <v>279</v>
      </c>
      <c r="B16" s="21" t="s">
        <v>9</v>
      </c>
      <c r="C16" s="21" t="s">
        <v>293</v>
      </c>
      <c r="D16" s="3">
        <v>45691</v>
      </c>
      <c r="E16" s="21" t="s">
        <v>23</v>
      </c>
      <c r="F16" s="21" t="s">
        <v>24</v>
      </c>
      <c r="G16" s="21" t="s">
        <v>57</v>
      </c>
      <c r="H16" s="2">
        <v>1</v>
      </c>
      <c r="I16" s="2">
        <v>529</v>
      </c>
      <c r="J16" s="2">
        <v>52.9</v>
      </c>
      <c r="K16" s="21" t="s">
        <v>97</v>
      </c>
      <c r="L16" s="21" t="s">
        <v>7</v>
      </c>
      <c r="M16" s="21" t="s">
        <v>13</v>
      </c>
      <c r="N16" s="3">
        <v>45030</v>
      </c>
      <c r="O16" s="21" t="s">
        <v>58</v>
      </c>
      <c r="P16" s="21" t="s">
        <v>44</v>
      </c>
      <c r="Q16" s="21" t="s">
        <v>59</v>
      </c>
      <c r="R16" s="2">
        <v>260</v>
      </c>
      <c r="S16" s="2">
        <v>476.1</v>
      </c>
      <c r="T16" s="2">
        <v>216.10000000000002</v>
      </c>
      <c r="U16" s="4">
        <v>45.389624028565429</v>
      </c>
      <c r="V16" s="21" t="s">
        <v>281</v>
      </c>
      <c r="W16">
        <v>1</v>
      </c>
      <c r="X16">
        <v>18</v>
      </c>
      <c r="Y16" s="20">
        <v>1</v>
      </c>
    </row>
    <row r="17" spans="1:25" x14ac:dyDescent="0.3">
      <c r="A17" s="20" t="s">
        <v>279</v>
      </c>
      <c r="B17" s="21" t="s">
        <v>9</v>
      </c>
      <c r="C17" s="21" t="s">
        <v>307</v>
      </c>
      <c r="D17" s="3">
        <v>45698</v>
      </c>
      <c r="E17" s="21" t="s">
        <v>25</v>
      </c>
      <c r="F17" s="21" t="s">
        <v>26</v>
      </c>
      <c r="G17" s="21" t="s">
        <v>50</v>
      </c>
      <c r="H17" s="2">
        <v>4</v>
      </c>
      <c r="I17" s="2">
        <v>45</v>
      </c>
      <c r="J17" s="2">
        <v>0</v>
      </c>
      <c r="K17" s="21" t="s">
        <v>97</v>
      </c>
      <c r="L17" s="21" t="s">
        <v>27</v>
      </c>
      <c r="M17" s="21" t="s">
        <v>13</v>
      </c>
      <c r="N17" s="3">
        <v>45168</v>
      </c>
      <c r="O17" s="21" t="s">
        <v>51</v>
      </c>
      <c r="P17" s="21" t="s">
        <v>52</v>
      </c>
      <c r="Q17" s="21" t="s">
        <v>53</v>
      </c>
      <c r="R17" s="2">
        <v>18</v>
      </c>
      <c r="S17" s="2">
        <v>180</v>
      </c>
      <c r="T17" s="2">
        <v>108</v>
      </c>
      <c r="U17" s="4">
        <v>60</v>
      </c>
      <c r="V17" s="21" t="s">
        <v>281</v>
      </c>
      <c r="W17">
        <v>1</v>
      </c>
      <c r="X17">
        <v>46</v>
      </c>
      <c r="Y17" s="20">
        <v>1</v>
      </c>
    </row>
    <row r="18" spans="1:25" x14ac:dyDescent="0.3">
      <c r="A18" s="20" t="s">
        <v>279</v>
      </c>
      <c r="B18" s="21" t="s">
        <v>9</v>
      </c>
      <c r="C18" s="21" t="s">
        <v>301</v>
      </c>
      <c r="D18" s="3">
        <v>45693</v>
      </c>
      <c r="E18" s="21" t="s">
        <v>25</v>
      </c>
      <c r="F18" s="21" t="s">
        <v>26</v>
      </c>
      <c r="G18" s="21" t="s">
        <v>68</v>
      </c>
      <c r="H18" s="2">
        <v>2</v>
      </c>
      <c r="I18" s="2">
        <v>229</v>
      </c>
      <c r="J18" s="2">
        <v>22.9</v>
      </c>
      <c r="K18" s="21" t="s">
        <v>97</v>
      </c>
      <c r="L18" s="21" t="s">
        <v>27</v>
      </c>
      <c r="M18" s="21" t="s">
        <v>13</v>
      </c>
      <c r="N18" s="3">
        <v>45168</v>
      </c>
      <c r="O18" s="21" t="s">
        <v>69</v>
      </c>
      <c r="P18" s="21" t="s">
        <v>44</v>
      </c>
      <c r="Q18" s="21" t="s">
        <v>70</v>
      </c>
      <c r="R18" s="2">
        <v>110</v>
      </c>
      <c r="S18" s="2">
        <v>435.1</v>
      </c>
      <c r="T18" s="2">
        <v>215.10000000000002</v>
      </c>
      <c r="U18" s="4">
        <v>49.436911054929908</v>
      </c>
      <c r="V18" s="21" t="s">
        <v>281</v>
      </c>
      <c r="W18">
        <v>1</v>
      </c>
      <c r="X18">
        <v>46</v>
      </c>
      <c r="Y18" s="20">
        <v>1</v>
      </c>
    </row>
    <row r="19" spans="1:25" x14ac:dyDescent="0.3">
      <c r="A19" s="20" t="s">
        <v>279</v>
      </c>
      <c r="B19" s="21" t="s">
        <v>9</v>
      </c>
      <c r="C19" s="21" t="s">
        <v>300</v>
      </c>
      <c r="D19" s="3">
        <v>45693</v>
      </c>
      <c r="E19" s="21" t="s">
        <v>18</v>
      </c>
      <c r="F19" s="21" t="s">
        <v>19</v>
      </c>
      <c r="G19" s="21" t="s">
        <v>84</v>
      </c>
      <c r="H19" s="2">
        <v>1</v>
      </c>
      <c r="I19" s="2">
        <v>2199</v>
      </c>
      <c r="J19" s="2">
        <v>220</v>
      </c>
      <c r="K19" s="21" t="s">
        <v>97</v>
      </c>
      <c r="L19" s="21" t="s">
        <v>20</v>
      </c>
      <c r="M19" s="21" t="s">
        <v>13</v>
      </c>
      <c r="N19" s="3">
        <v>44931</v>
      </c>
      <c r="O19" s="21" t="s">
        <v>85</v>
      </c>
      <c r="P19" s="21" t="s">
        <v>44</v>
      </c>
      <c r="Q19" s="21" t="s">
        <v>56</v>
      </c>
      <c r="R19" s="2">
        <v>1380</v>
      </c>
      <c r="S19" s="2">
        <v>1979</v>
      </c>
      <c r="T19" s="2">
        <v>599</v>
      </c>
      <c r="U19" s="4">
        <v>30.267812026275898</v>
      </c>
      <c r="V19" s="21" t="s">
        <v>281</v>
      </c>
      <c r="W19">
        <v>1</v>
      </c>
      <c r="X19">
        <v>35</v>
      </c>
      <c r="Y19" s="20">
        <v>1</v>
      </c>
    </row>
    <row r="20" spans="1:25" x14ac:dyDescent="0.3">
      <c r="A20" s="20" t="s">
        <v>279</v>
      </c>
      <c r="B20" s="21" t="s">
        <v>9</v>
      </c>
      <c r="C20" s="21" t="s">
        <v>302</v>
      </c>
      <c r="D20" s="3">
        <v>45696</v>
      </c>
      <c r="E20" s="21" t="s">
        <v>303</v>
      </c>
      <c r="F20" s="21" t="s">
        <v>304</v>
      </c>
      <c r="G20" s="21" t="s">
        <v>81</v>
      </c>
      <c r="H20" s="2">
        <v>2</v>
      </c>
      <c r="I20" s="2">
        <v>89</v>
      </c>
      <c r="J20" s="2">
        <v>0</v>
      </c>
      <c r="K20" s="21" t="s">
        <v>97</v>
      </c>
      <c r="L20" s="21" t="s">
        <v>7</v>
      </c>
      <c r="M20" s="21" t="s">
        <v>30</v>
      </c>
      <c r="N20" s="3">
        <v>45687</v>
      </c>
      <c r="O20" s="21" t="s">
        <v>82</v>
      </c>
      <c r="P20" s="21" t="s">
        <v>52</v>
      </c>
      <c r="Q20" s="21" t="s">
        <v>83</v>
      </c>
      <c r="R20" s="2">
        <v>42</v>
      </c>
      <c r="S20" s="2">
        <v>178</v>
      </c>
      <c r="T20" s="2">
        <v>94</v>
      </c>
      <c r="U20" s="4">
        <v>52.80898876404494</v>
      </c>
      <c r="V20" s="21" t="s">
        <v>281</v>
      </c>
      <c r="W20">
        <v>1</v>
      </c>
      <c r="X20">
        <v>10</v>
      </c>
      <c r="Y20" s="20">
        <v>1</v>
      </c>
    </row>
    <row r="21" spans="1:25" x14ac:dyDescent="0.3">
      <c r="A21" s="20" t="s">
        <v>279</v>
      </c>
      <c r="B21" s="21" t="s">
        <v>9</v>
      </c>
      <c r="C21" s="21" t="s">
        <v>285</v>
      </c>
      <c r="D21" s="3">
        <v>45697</v>
      </c>
      <c r="E21" s="21" t="s">
        <v>33</v>
      </c>
      <c r="F21" s="21" t="s">
        <v>34</v>
      </c>
      <c r="G21" s="21" t="s">
        <v>42</v>
      </c>
      <c r="H21" s="2">
        <v>1</v>
      </c>
      <c r="I21" s="2">
        <v>349</v>
      </c>
      <c r="J21" s="2">
        <v>34.9</v>
      </c>
      <c r="K21" s="21" t="s">
        <v>97</v>
      </c>
      <c r="L21" s="21" t="s">
        <v>7</v>
      </c>
      <c r="M21" s="21" t="s">
        <v>30</v>
      </c>
      <c r="N21" s="3">
        <v>45279</v>
      </c>
      <c r="O21" s="21" t="s">
        <v>43</v>
      </c>
      <c r="P21" s="21" t="s">
        <v>44</v>
      </c>
      <c r="Q21" s="21" t="s">
        <v>45</v>
      </c>
      <c r="R21" s="2">
        <v>165</v>
      </c>
      <c r="S21" s="2">
        <v>314.10000000000002</v>
      </c>
      <c r="T21" s="2">
        <v>149.10000000000002</v>
      </c>
      <c r="U21" s="4">
        <v>47.468958930276983</v>
      </c>
      <c r="V21" s="21" t="s">
        <v>281</v>
      </c>
      <c r="W21">
        <v>1</v>
      </c>
      <c r="X21">
        <v>8</v>
      </c>
      <c r="Y21" s="20">
        <v>1</v>
      </c>
    </row>
    <row r="22" spans="1:25" x14ac:dyDescent="0.3">
      <c r="A22" s="20" t="s">
        <v>279</v>
      </c>
      <c r="B22" s="21" t="s">
        <v>9</v>
      </c>
      <c r="C22" s="21" t="s">
        <v>309</v>
      </c>
      <c r="D22" s="3">
        <v>45699</v>
      </c>
      <c r="E22" s="21" t="s">
        <v>18</v>
      </c>
      <c r="F22" s="21" t="s">
        <v>19</v>
      </c>
      <c r="G22" s="21" t="s">
        <v>57</v>
      </c>
      <c r="H22" s="2">
        <v>1</v>
      </c>
      <c r="I22" s="2">
        <v>529</v>
      </c>
      <c r="J22" s="2">
        <v>0</v>
      </c>
      <c r="K22" s="21" t="s">
        <v>97</v>
      </c>
      <c r="L22" s="21" t="s">
        <v>20</v>
      </c>
      <c r="M22" s="21" t="s">
        <v>13</v>
      </c>
      <c r="N22" s="3">
        <v>44931</v>
      </c>
      <c r="O22" s="21" t="s">
        <v>58</v>
      </c>
      <c r="P22" s="21" t="s">
        <v>44</v>
      </c>
      <c r="Q22" s="21" t="s">
        <v>59</v>
      </c>
      <c r="R22" s="2">
        <v>260</v>
      </c>
      <c r="S22" s="2">
        <v>529</v>
      </c>
      <c r="T22" s="2">
        <v>269</v>
      </c>
      <c r="U22" s="4">
        <v>50.850661625708881</v>
      </c>
      <c r="V22" s="21" t="s">
        <v>281</v>
      </c>
      <c r="W22">
        <v>1</v>
      </c>
      <c r="X22">
        <v>35</v>
      </c>
      <c r="Y22" s="20">
        <v>1</v>
      </c>
    </row>
    <row r="23" spans="1:25" x14ac:dyDescent="0.3">
      <c r="A23" s="20" t="s">
        <v>279</v>
      </c>
      <c r="B23" s="21" t="s">
        <v>9</v>
      </c>
      <c r="C23" s="21" t="s">
        <v>310</v>
      </c>
      <c r="D23" s="3">
        <v>45700</v>
      </c>
      <c r="E23" s="21" t="s">
        <v>303</v>
      </c>
      <c r="F23" s="21" t="s">
        <v>304</v>
      </c>
      <c r="G23" s="21" t="s">
        <v>46</v>
      </c>
      <c r="H23" s="2">
        <v>3</v>
      </c>
      <c r="I23" s="2">
        <v>199</v>
      </c>
      <c r="J23" s="2">
        <v>30</v>
      </c>
      <c r="K23" s="21" t="s">
        <v>97</v>
      </c>
      <c r="L23" s="21" t="s">
        <v>7</v>
      </c>
      <c r="M23" s="21" t="s">
        <v>30</v>
      </c>
      <c r="N23" s="3">
        <v>45687</v>
      </c>
      <c r="O23" s="21" t="s">
        <v>47</v>
      </c>
      <c r="P23" s="21" t="s">
        <v>48</v>
      </c>
      <c r="Q23" s="21" t="s">
        <v>49</v>
      </c>
      <c r="R23" s="2">
        <v>95</v>
      </c>
      <c r="S23" s="2">
        <v>567</v>
      </c>
      <c r="T23" s="2">
        <v>282</v>
      </c>
      <c r="U23" s="4">
        <v>49.735449735449734</v>
      </c>
      <c r="V23" s="21" t="s">
        <v>281</v>
      </c>
      <c r="W23">
        <v>1</v>
      </c>
      <c r="X23">
        <v>10</v>
      </c>
      <c r="Y23" s="20">
        <v>1</v>
      </c>
    </row>
    <row r="24" spans="1:25" x14ac:dyDescent="0.3">
      <c r="A24" s="20" t="s">
        <v>279</v>
      </c>
      <c r="B24" s="21" t="s">
        <v>9</v>
      </c>
      <c r="C24" s="21" t="s">
        <v>311</v>
      </c>
      <c r="D24" s="3">
        <v>45700</v>
      </c>
      <c r="E24" s="21" t="s">
        <v>101</v>
      </c>
      <c r="F24" s="21" t="s">
        <v>312</v>
      </c>
      <c r="G24" s="21" t="s">
        <v>63</v>
      </c>
      <c r="H24" s="2">
        <v>2</v>
      </c>
      <c r="I24" s="2">
        <v>29</v>
      </c>
      <c r="J24" s="2">
        <v>0</v>
      </c>
      <c r="K24" s="21" t="s">
        <v>97</v>
      </c>
      <c r="L24" s="21" t="s">
        <v>265</v>
      </c>
      <c r="M24" s="21" t="s">
        <v>101</v>
      </c>
      <c r="N24" s="3"/>
      <c r="O24" s="21" t="s">
        <v>64</v>
      </c>
      <c r="P24" s="21" t="s">
        <v>52</v>
      </c>
      <c r="Q24" s="21" t="s">
        <v>62</v>
      </c>
      <c r="R24" s="2">
        <v>11</v>
      </c>
      <c r="S24" s="2">
        <v>58</v>
      </c>
      <c r="T24" s="2">
        <v>36</v>
      </c>
      <c r="U24" s="4">
        <v>62.068965517241381</v>
      </c>
      <c r="V24" s="21" t="s">
        <v>281</v>
      </c>
      <c r="W24">
        <v>1</v>
      </c>
      <c r="X24"/>
      <c r="Y24" s="20"/>
    </row>
    <row r="25" spans="1:25" x14ac:dyDescent="0.3">
      <c r="A25" s="20" t="s">
        <v>279</v>
      </c>
      <c r="B25" s="21" t="s">
        <v>9</v>
      </c>
      <c r="C25" s="21" t="s">
        <v>313</v>
      </c>
      <c r="D25" s="3">
        <v>45701</v>
      </c>
      <c r="E25" s="21" t="s">
        <v>5</v>
      </c>
      <c r="F25" s="21" t="s">
        <v>6</v>
      </c>
      <c r="G25" s="21" t="s">
        <v>84</v>
      </c>
      <c r="H25" s="2">
        <v>1</v>
      </c>
      <c r="I25" s="2">
        <v>2199</v>
      </c>
      <c r="J25" s="2">
        <v>0</v>
      </c>
      <c r="K25" s="21" t="s">
        <v>97</v>
      </c>
      <c r="L25" s="21" t="s">
        <v>7</v>
      </c>
      <c r="M25" s="21" t="s">
        <v>8</v>
      </c>
      <c r="N25" s="3">
        <v>44635</v>
      </c>
      <c r="O25" s="21" t="s">
        <v>85</v>
      </c>
      <c r="P25" s="21" t="s">
        <v>44</v>
      </c>
      <c r="Q25" s="21" t="s">
        <v>56</v>
      </c>
      <c r="R25" s="2">
        <v>1380</v>
      </c>
      <c r="S25" s="2">
        <v>2199</v>
      </c>
      <c r="T25" s="2">
        <v>819</v>
      </c>
      <c r="U25" s="4">
        <v>37.244201909959074</v>
      </c>
      <c r="V25" s="21" t="s">
        <v>281</v>
      </c>
      <c r="W25">
        <v>1</v>
      </c>
      <c r="X25">
        <v>52</v>
      </c>
      <c r="Y25" s="20">
        <v>1</v>
      </c>
    </row>
    <row r="26" spans="1:25" x14ac:dyDescent="0.3">
      <c r="A26" s="20" t="s">
        <v>279</v>
      </c>
      <c r="B26" s="21" t="s">
        <v>9</v>
      </c>
      <c r="C26" s="21" t="s">
        <v>314</v>
      </c>
      <c r="D26" s="3">
        <v>45701</v>
      </c>
      <c r="E26" s="21" t="s">
        <v>21</v>
      </c>
      <c r="F26" s="21" t="s">
        <v>22</v>
      </c>
      <c r="G26" s="21" t="s">
        <v>68</v>
      </c>
      <c r="H26" s="2">
        <v>1</v>
      </c>
      <c r="I26" s="2">
        <v>229</v>
      </c>
      <c r="J26" s="2">
        <v>22.9</v>
      </c>
      <c r="K26" s="21" t="s">
        <v>97</v>
      </c>
      <c r="L26" s="21" t="s">
        <v>7</v>
      </c>
      <c r="M26" s="21" t="s">
        <v>8</v>
      </c>
      <c r="N26" s="3">
        <v>44948</v>
      </c>
      <c r="O26" s="21" t="s">
        <v>69</v>
      </c>
      <c r="P26" s="21" t="s">
        <v>44</v>
      </c>
      <c r="Q26" s="21" t="s">
        <v>70</v>
      </c>
      <c r="R26" s="2">
        <v>110</v>
      </c>
      <c r="S26" s="2">
        <v>206.1</v>
      </c>
      <c r="T26" s="2">
        <v>96.1</v>
      </c>
      <c r="U26" s="4">
        <v>46.62785055798156</v>
      </c>
      <c r="V26" s="21" t="s">
        <v>281</v>
      </c>
      <c r="W26">
        <v>1</v>
      </c>
      <c r="X26">
        <v>32</v>
      </c>
      <c r="Y26" s="20">
        <v>1</v>
      </c>
    </row>
    <row r="27" spans="1:25" x14ac:dyDescent="0.3">
      <c r="A27" s="20" t="s">
        <v>279</v>
      </c>
      <c r="B27" s="21" t="s">
        <v>9</v>
      </c>
      <c r="C27" s="21" t="s">
        <v>315</v>
      </c>
      <c r="D27" s="3">
        <v>45702</v>
      </c>
      <c r="E27" s="21" t="s">
        <v>10</v>
      </c>
      <c r="F27" s="21" t="s">
        <v>11</v>
      </c>
      <c r="G27" s="21" t="s">
        <v>71</v>
      </c>
      <c r="H27" s="2">
        <v>1</v>
      </c>
      <c r="I27" s="2">
        <v>459</v>
      </c>
      <c r="J27" s="2">
        <v>46</v>
      </c>
      <c r="K27" s="21" t="s">
        <v>97</v>
      </c>
      <c r="L27" s="21" t="s">
        <v>12</v>
      </c>
      <c r="M27" s="21" t="s">
        <v>13</v>
      </c>
      <c r="N27" s="3">
        <v>44744</v>
      </c>
      <c r="O27" s="21" t="s">
        <v>72</v>
      </c>
      <c r="P27" s="21" t="s">
        <v>48</v>
      </c>
      <c r="Q27" s="21" t="s">
        <v>49</v>
      </c>
      <c r="R27" s="2">
        <v>210</v>
      </c>
      <c r="S27" s="2">
        <v>413</v>
      </c>
      <c r="T27" s="2">
        <v>203</v>
      </c>
      <c r="U27" s="4">
        <v>49.152542372881356</v>
      </c>
      <c r="V27" s="21" t="s">
        <v>281</v>
      </c>
      <c r="W27">
        <v>1</v>
      </c>
      <c r="X27">
        <v>32</v>
      </c>
      <c r="Y27" s="20">
        <v>1</v>
      </c>
    </row>
    <row r="28" spans="1:25" x14ac:dyDescent="0.3">
      <c r="A28" s="20" t="s">
        <v>279</v>
      </c>
      <c r="B28" s="21" t="s">
        <v>9</v>
      </c>
      <c r="C28" s="21" t="s">
        <v>316</v>
      </c>
      <c r="D28" s="3">
        <v>45702</v>
      </c>
      <c r="E28" s="21" t="s">
        <v>101</v>
      </c>
      <c r="F28" s="21" t="s">
        <v>317</v>
      </c>
      <c r="G28" s="21" t="s">
        <v>73</v>
      </c>
      <c r="H28" s="2">
        <v>3</v>
      </c>
      <c r="I28" s="2">
        <v>19</v>
      </c>
      <c r="J28" s="2">
        <v>0</v>
      </c>
      <c r="K28" s="21" t="s">
        <v>97</v>
      </c>
      <c r="L28" s="21" t="s">
        <v>265</v>
      </c>
      <c r="M28" s="21" t="s">
        <v>101</v>
      </c>
      <c r="N28" s="3"/>
      <c r="O28" s="21" t="s">
        <v>74</v>
      </c>
      <c r="P28" s="21" t="s">
        <v>52</v>
      </c>
      <c r="Q28" s="21" t="s">
        <v>62</v>
      </c>
      <c r="R28" s="2">
        <v>8</v>
      </c>
      <c r="S28" s="2">
        <v>57</v>
      </c>
      <c r="T28" s="2">
        <v>33</v>
      </c>
      <c r="U28" s="4">
        <v>57.894736842105267</v>
      </c>
      <c r="V28" s="21" t="s">
        <v>281</v>
      </c>
      <c r="W28">
        <v>1</v>
      </c>
      <c r="X28"/>
      <c r="Y28" s="20"/>
    </row>
    <row r="29" spans="1:25" x14ac:dyDescent="0.3">
      <c r="A29" s="20" t="s">
        <v>279</v>
      </c>
      <c r="B29" s="21" t="s">
        <v>9</v>
      </c>
      <c r="C29" s="21" t="s">
        <v>318</v>
      </c>
      <c r="D29" s="3">
        <v>45703</v>
      </c>
      <c r="E29" s="21" t="s">
        <v>23</v>
      </c>
      <c r="F29" s="21" t="s">
        <v>24</v>
      </c>
      <c r="G29" s="21" t="s">
        <v>75</v>
      </c>
      <c r="H29" s="2">
        <v>1</v>
      </c>
      <c r="I29" s="2">
        <v>599</v>
      </c>
      <c r="J29" s="2">
        <v>0</v>
      </c>
      <c r="K29" s="21" t="s">
        <v>97</v>
      </c>
      <c r="L29" s="21" t="s">
        <v>7</v>
      </c>
      <c r="M29" s="21" t="s">
        <v>13</v>
      </c>
      <c r="N29" s="3">
        <v>45030</v>
      </c>
      <c r="O29" s="21" t="s">
        <v>76</v>
      </c>
      <c r="P29" s="21" t="s">
        <v>44</v>
      </c>
      <c r="Q29" s="21" t="s">
        <v>59</v>
      </c>
      <c r="R29" s="2">
        <v>350</v>
      </c>
      <c r="S29" s="2">
        <v>599</v>
      </c>
      <c r="T29" s="2">
        <v>249</v>
      </c>
      <c r="U29" s="4">
        <v>41.569282136894827</v>
      </c>
      <c r="V29" s="21" t="s">
        <v>281</v>
      </c>
      <c r="W29">
        <v>1</v>
      </c>
      <c r="X29">
        <v>18</v>
      </c>
      <c r="Y29" s="20">
        <v>1</v>
      </c>
    </row>
    <row r="30" spans="1:25" x14ac:dyDescent="0.3">
      <c r="A30" s="20" t="s">
        <v>279</v>
      </c>
      <c r="B30" s="21" t="s">
        <v>9</v>
      </c>
      <c r="C30" s="21" t="s">
        <v>319</v>
      </c>
      <c r="D30" s="3">
        <v>45703</v>
      </c>
      <c r="E30" s="21" t="s">
        <v>289</v>
      </c>
      <c r="F30" s="21" t="s">
        <v>290</v>
      </c>
      <c r="G30" s="21" t="s">
        <v>79</v>
      </c>
      <c r="H30" s="2">
        <v>2</v>
      </c>
      <c r="I30" s="2">
        <v>189</v>
      </c>
      <c r="J30" s="2">
        <v>19</v>
      </c>
      <c r="K30" s="21" t="s">
        <v>97</v>
      </c>
      <c r="L30" s="21" t="s">
        <v>7</v>
      </c>
      <c r="M30" s="21" t="s">
        <v>30</v>
      </c>
      <c r="N30" s="3">
        <v>45685</v>
      </c>
      <c r="O30" s="21" t="s">
        <v>80</v>
      </c>
      <c r="P30" s="21" t="s">
        <v>44</v>
      </c>
      <c r="Q30" s="21" t="s">
        <v>70</v>
      </c>
      <c r="R30" s="2">
        <v>95</v>
      </c>
      <c r="S30" s="2">
        <v>359</v>
      </c>
      <c r="T30" s="2">
        <v>169</v>
      </c>
      <c r="U30" s="4">
        <v>47.075208913649021</v>
      </c>
      <c r="V30" s="21" t="s">
        <v>281</v>
      </c>
      <c r="W30">
        <v>1</v>
      </c>
      <c r="X30">
        <v>10</v>
      </c>
      <c r="Y30" s="20">
        <v>1</v>
      </c>
    </row>
    <row r="31" spans="1:25" x14ac:dyDescent="0.3">
      <c r="A31" s="20" t="s">
        <v>279</v>
      </c>
      <c r="B31" s="21" t="s">
        <v>9</v>
      </c>
      <c r="C31" s="21" t="s">
        <v>320</v>
      </c>
      <c r="D31" s="3">
        <v>45704</v>
      </c>
      <c r="E31" s="21" t="s">
        <v>15</v>
      </c>
      <c r="F31" s="21" t="s">
        <v>16</v>
      </c>
      <c r="G31" s="21" t="s">
        <v>77</v>
      </c>
      <c r="H31" s="2">
        <v>1</v>
      </c>
      <c r="I31" s="2">
        <v>1099</v>
      </c>
      <c r="J31" s="2">
        <v>110</v>
      </c>
      <c r="K31" s="21" t="s">
        <v>97</v>
      </c>
      <c r="L31" s="21" t="s">
        <v>7</v>
      </c>
      <c r="M31" s="21" t="s">
        <v>13</v>
      </c>
      <c r="N31" s="3">
        <v>44883</v>
      </c>
      <c r="O31" s="21" t="s">
        <v>78</v>
      </c>
      <c r="P31" s="21" t="s">
        <v>48</v>
      </c>
      <c r="Q31" s="21" t="s">
        <v>62</v>
      </c>
      <c r="R31" s="2">
        <v>650</v>
      </c>
      <c r="S31" s="2">
        <v>989</v>
      </c>
      <c r="T31" s="2">
        <v>339</v>
      </c>
      <c r="U31" s="4">
        <v>34.277047522750252</v>
      </c>
      <c r="V31" s="21" t="s">
        <v>281</v>
      </c>
      <c r="W31">
        <v>1</v>
      </c>
      <c r="X31">
        <v>32</v>
      </c>
      <c r="Y31" s="20">
        <v>1</v>
      </c>
    </row>
    <row r="32" spans="1:25" x14ac:dyDescent="0.3">
      <c r="A32" s="20" t="s">
        <v>279</v>
      </c>
      <c r="B32" s="21" t="s">
        <v>9</v>
      </c>
      <c r="C32" s="21" t="s">
        <v>321</v>
      </c>
      <c r="D32" s="3">
        <v>45704</v>
      </c>
      <c r="E32" s="21" t="s">
        <v>101</v>
      </c>
      <c r="F32" s="21" t="s">
        <v>322</v>
      </c>
      <c r="G32" s="21" t="s">
        <v>81</v>
      </c>
      <c r="H32" s="2">
        <v>1</v>
      </c>
      <c r="I32" s="2">
        <v>89</v>
      </c>
      <c r="J32" s="2">
        <v>0</v>
      </c>
      <c r="K32" s="21" t="s">
        <v>97</v>
      </c>
      <c r="L32" s="21" t="s">
        <v>265</v>
      </c>
      <c r="M32" s="21" t="s">
        <v>101</v>
      </c>
      <c r="N32" s="3"/>
      <c r="O32" s="21" t="s">
        <v>82</v>
      </c>
      <c r="P32" s="21" t="s">
        <v>52</v>
      </c>
      <c r="Q32" s="21" t="s">
        <v>83</v>
      </c>
      <c r="R32" s="2">
        <v>42</v>
      </c>
      <c r="S32" s="2">
        <v>89</v>
      </c>
      <c r="T32" s="2">
        <v>47</v>
      </c>
      <c r="U32" s="4">
        <v>52.80898876404494</v>
      </c>
      <c r="V32" s="21" t="s">
        <v>281</v>
      </c>
      <c r="W32">
        <v>1</v>
      </c>
      <c r="X32"/>
      <c r="Y32" s="20"/>
    </row>
    <row r="33" spans="1:25" x14ac:dyDescent="0.3">
      <c r="A33" s="20" t="s">
        <v>279</v>
      </c>
      <c r="B33" s="21" t="s">
        <v>9</v>
      </c>
      <c r="C33" s="21" t="s">
        <v>323</v>
      </c>
      <c r="D33" s="3">
        <v>45705</v>
      </c>
      <c r="E33" s="21" t="s">
        <v>25</v>
      </c>
      <c r="F33" s="21" t="s">
        <v>26</v>
      </c>
      <c r="G33" s="21" t="s">
        <v>54</v>
      </c>
      <c r="H33" s="2">
        <v>1</v>
      </c>
      <c r="I33" s="2">
        <v>1299</v>
      </c>
      <c r="J33" s="2">
        <v>130</v>
      </c>
      <c r="K33" s="21" t="s">
        <v>97</v>
      </c>
      <c r="L33" s="21" t="s">
        <v>27</v>
      </c>
      <c r="M33" s="21" t="s">
        <v>13</v>
      </c>
      <c r="N33" s="3">
        <v>45168</v>
      </c>
      <c r="O33" s="21" t="s">
        <v>55</v>
      </c>
      <c r="P33" s="21" t="s">
        <v>44</v>
      </c>
      <c r="Q33" s="21" t="s">
        <v>56</v>
      </c>
      <c r="R33" s="2">
        <v>820</v>
      </c>
      <c r="S33" s="2">
        <v>1169</v>
      </c>
      <c r="T33" s="2">
        <v>349</v>
      </c>
      <c r="U33" s="4">
        <v>29.854576561163388</v>
      </c>
      <c r="V33" s="21" t="s">
        <v>281</v>
      </c>
      <c r="W33">
        <v>1</v>
      </c>
      <c r="X33">
        <v>46</v>
      </c>
      <c r="Y33" s="20">
        <v>1</v>
      </c>
    </row>
    <row r="34" spans="1:25" x14ac:dyDescent="0.3">
      <c r="A34" s="20" t="s">
        <v>279</v>
      </c>
      <c r="B34" s="21" t="s">
        <v>9</v>
      </c>
      <c r="C34" s="21" t="s">
        <v>324</v>
      </c>
      <c r="D34" s="3">
        <v>45705</v>
      </c>
      <c r="E34" s="21" t="s">
        <v>303</v>
      </c>
      <c r="F34" s="21" t="s">
        <v>304</v>
      </c>
      <c r="G34" s="21" t="s">
        <v>42</v>
      </c>
      <c r="H34" s="2">
        <v>2</v>
      </c>
      <c r="I34" s="2">
        <v>349</v>
      </c>
      <c r="J34" s="2">
        <v>0</v>
      </c>
      <c r="K34" s="21" t="s">
        <v>97</v>
      </c>
      <c r="L34" s="21" t="s">
        <v>7</v>
      </c>
      <c r="M34" s="21" t="s">
        <v>30</v>
      </c>
      <c r="N34" s="3">
        <v>45687</v>
      </c>
      <c r="O34" s="21" t="s">
        <v>43</v>
      </c>
      <c r="P34" s="21" t="s">
        <v>44</v>
      </c>
      <c r="Q34" s="21" t="s">
        <v>45</v>
      </c>
      <c r="R34" s="2">
        <v>165</v>
      </c>
      <c r="S34" s="2">
        <v>698</v>
      </c>
      <c r="T34" s="2">
        <v>368</v>
      </c>
      <c r="U34" s="4">
        <v>52.722063037249278</v>
      </c>
      <c r="V34" s="21" t="s">
        <v>281</v>
      </c>
      <c r="W34">
        <v>1</v>
      </c>
      <c r="X34">
        <v>10</v>
      </c>
      <c r="Y34" s="20">
        <v>1</v>
      </c>
    </row>
    <row r="35" spans="1:25" x14ac:dyDescent="0.3">
      <c r="A35" s="20" t="s">
        <v>279</v>
      </c>
      <c r="B35" s="21" t="s">
        <v>9</v>
      </c>
      <c r="C35" s="21" t="s">
        <v>325</v>
      </c>
      <c r="D35" s="3">
        <v>45706</v>
      </c>
      <c r="E35" s="21" t="s">
        <v>18</v>
      </c>
      <c r="F35" s="21" t="s">
        <v>19</v>
      </c>
      <c r="G35" s="21" t="s">
        <v>60</v>
      </c>
      <c r="H35" s="2">
        <v>1</v>
      </c>
      <c r="I35" s="2">
        <v>899</v>
      </c>
      <c r="J35" s="2">
        <v>89.9</v>
      </c>
      <c r="K35" s="21" t="s">
        <v>97</v>
      </c>
      <c r="L35" s="21" t="s">
        <v>20</v>
      </c>
      <c r="M35" s="21" t="s">
        <v>13</v>
      </c>
      <c r="N35" s="3">
        <v>44931</v>
      </c>
      <c r="O35" s="21" t="s">
        <v>61</v>
      </c>
      <c r="P35" s="21" t="s">
        <v>48</v>
      </c>
      <c r="Q35" s="21" t="s">
        <v>62</v>
      </c>
      <c r="R35" s="2">
        <v>520</v>
      </c>
      <c r="S35" s="2">
        <v>809.1</v>
      </c>
      <c r="T35" s="2">
        <v>289.10000000000002</v>
      </c>
      <c r="U35" s="4">
        <v>35.731059201582006</v>
      </c>
      <c r="V35" s="21" t="s">
        <v>281</v>
      </c>
      <c r="W35">
        <v>1</v>
      </c>
      <c r="X35">
        <v>35</v>
      </c>
      <c r="Y35" s="20">
        <v>1</v>
      </c>
    </row>
    <row r="36" spans="1:25" x14ac:dyDescent="0.3">
      <c r="A36" s="20" t="s">
        <v>279</v>
      </c>
      <c r="B36" s="21" t="s">
        <v>9</v>
      </c>
      <c r="C36" s="21" t="s">
        <v>326</v>
      </c>
      <c r="D36" s="3">
        <v>45706</v>
      </c>
      <c r="E36" s="21" t="s">
        <v>101</v>
      </c>
      <c r="F36" s="21" t="s">
        <v>327</v>
      </c>
      <c r="G36" s="21" t="s">
        <v>50</v>
      </c>
      <c r="H36" s="2">
        <v>2</v>
      </c>
      <c r="I36" s="2">
        <v>45</v>
      </c>
      <c r="J36" s="2">
        <v>0</v>
      </c>
      <c r="K36" s="21" t="s">
        <v>97</v>
      </c>
      <c r="L36" s="21" t="s">
        <v>265</v>
      </c>
      <c r="M36" s="21" t="s">
        <v>101</v>
      </c>
      <c r="N36" s="3"/>
      <c r="O36" s="21" t="s">
        <v>51</v>
      </c>
      <c r="P36" s="21" t="s">
        <v>52</v>
      </c>
      <c r="Q36" s="21" t="s">
        <v>53</v>
      </c>
      <c r="R36" s="2">
        <v>18</v>
      </c>
      <c r="S36" s="2">
        <v>90</v>
      </c>
      <c r="T36" s="2">
        <v>54</v>
      </c>
      <c r="U36" s="4">
        <v>60</v>
      </c>
      <c r="V36" s="21" t="s">
        <v>281</v>
      </c>
      <c r="W36">
        <v>1</v>
      </c>
      <c r="X36"/>
      <c r="Y36" s="20"/>
    </row>
    <row r="37" spans="1:25" x14ac:dyDescent="0.3">
      <c r="A37" s="20" t="s">
        <v>279</v>
      </c>
      <c r="B37" s="21" t="s">
        <v>9</v>
      </c>
      <c r="C37" s="21" t="s">
        <v>328</v>
      </c>
      <c r="D37" s="3">
        <v>45707</v>
      </c>
      <c r="E37" s="21" t="s">
        <v>5</v>
      </c>
      <c r="F37" s="21" t="s">
        <v>6</v>
      </c>
      <c r="G37" s="21" t="s">
        <v>57</v>
      </c>
      <c r="H37" s="2">
        <v>1</v>
      </c>
      <c r="I37" s="2">
        <v>529</v>
      </c>
      <c r="J37" s="2">
        <v>53</v>
      </c>
      <c r="K37" s="21" t="s">
        <v>97</v>
      </c>
      <c r="L37" s="21" t="s">
        <v>7</v>
      </c>
      <c r="M37" s="21" t="s">
        <v>8</v>
      </c>
      <c r="N37" s="3">
        <v>44635</v>
      </c>
      <c r="O37" s="21" t="s">
        <v>58</v>
      </c>
      <c r="P37" s="21" t="s">
        <v>44</v>
      </c>
      <c r="Q37" s="21" t="s">
        <v>59</v>
      </c>
      <c r="R37" s="2">
        <v>260</v>
      </c>
      <c r="S37" s="2">
        <v>476</v>
      </c>
      <c r="T37" s="2">
        <v>216</v>
      </c>
      <c r="U37" s="4">
        <v>45.378151260504204</v>
      </c>
      <c r="V37" s="21" t="s">
        <v>281</v>
      </c>
      <c r="W37">
        <v>1</v>
      </c>
      <c r="X37">
        <v>52</v>
      </c>
      <c r="Y37" s="20">
        <v>1</v>
      </c>
    </row>
    <row r="38" spans="1:25" x14ac:dyDescent="0.3">
      <c r="A38" s="20" t="s">
        <v>279</v>
      </c>
      <c r="B38" s="21" t="s">
        <v>9</v>
      </c>
      <c r="C38" s="21" t="s">
        <v>329</v>
      </c>
      <c r="D38" s="3">
        <v>45707</v>
      </c>
      <c r="E38" s="21" t="s">
        <v>21</v>
      </c>
      <c r="F38" s="21" t="s">
        <v>22</v>
      </c>
      <c r="G38" s="21" t="s">
        <v>65</v>
      </c>
      <c r="H38" s="2">
        <v>1</v>
      </c>
      <c r="I38" s="2">
        <v>749</v>
      </c>
      <c r="J38" s="2">
        <v>75</v>
      </c>
      <c r="K38" s="21" t="s">
        <v>97</v>
      </c>
      <c r="L38" s="21" t="s">
        <v>7</v>
      </c>
      <c r="M38" s="21" t="s">
        <v>8</v>
      </c>
      <c r="N38" s="3">
        <v>44948</v>
      </c>
      <c r="O38" s="21" t="s">
        <v>66</v>
      </c>
      <c r="P38" s="21" t="s">
        <v>44</v>
      </c>
      <c r="Q38" s="21" t="s">
        <v>67</v>
      </c>
      <c r="R38" s="2">
        <v>490</v>
      </c>
      <c r="S38" s="2">
        <v>674</v>
      </c>
      <c r="T38" s="2">
        <v>184</v>
      </c>
      <c r="U38" s="4">
        <v>27.299703264094955</v>
      </c>
      <c r="V38" s="21" t="s">
        <v>281</v>
      </c>
      <c r="W38">
        <v>1</v>
      </c>
      <c r="X38">
        <v>32</v>
      </c>
      <c r="Y38" s="20">
        <v>1</v>
      </c>
    </row>
    <row r="39" spans="1:25" x14ac:dyDescent="0.3">
      <c r="A39" s="20" t="s">
        <v>279</v>
      </c>
      <c r="B39" s="21" t="s">
        <v>9</v>
      </c>
      <c r="C39" s="21" t="s">
        <v>330</v>
      </c>
      <c r="D39" s="3">
        <v>45708</v>
      </c>
      <c r="E39" s="21" t="s">
        <v>33</v>
      </c>
      <c r="F39" s="21" t="s">
        <v>34</v>
      </c>
      <c r="G39" s="21" t="s">
        <v>46</v>
      </c>
      <c r="H39" s="2">
        <v>2</v>
      </c>
      <c r="I39" s="2">
        <v>199</v>
      </c>
      <c r="J39" s="2">
        <v>0</v>
      </c>
      <c r="K39" s="21" t="s">
        <v>97</v>
      </c>
      <c r="L39" s="21" t="s">
        <v>7</v>
      </c>
      <c r="M39" s="21" t="s">
        <v>30</v>
      </c>
      <c r="N39" s="3">
        <v>45279</v>
      </c>
      <c r="O39" s="21" t="s">
        <v>47</v>
      </c>
      <c r="P39" s="21" t="s">
        <v>48</v>
      </c>
      <c r="Q39" s="21" t="s">
        <v>49</v>
      </c>
      <c r="R39" s="2">
        <v>95</v>
      </c>
      <c r="S39" s="2">
        <v>398</v>
      </c>
      <c r="T39" s="2">
        <v>208</v>
      </c>
      <c r="U39" s="4">
        <v>52.261306532663319</v>
      </c>
      <c r="V39" s="21" t="s">
        <v>281</v>
      </c>
      <c r="W39">
        <v>1</v>
      </c>
      <c r="X39">
        <v>8</v>
      </c>
      <c r="Y39" s="20">
        <v>1</v>
      </c>
    </row>
    <row r="40" spans="1:25" x14ac:dyDescent="0.3">
      <c r="A40" s="20" t="s">
        <v>279</v>
      </c>
      <c r="B40" s="21" t="s">
        <v>9</v>
      </c>
      <c r="C40" s="21" t="s">
        <v>331</v>
      </c>
      <c r="D40" s="3">
        <v>45708</v>
      </c>
      <c r="E40" s="21" t="s">
        <v>101</v>
      </c>
      <c r="F40" s="21" t="s">
        <v>332</v>
      </c>
      <c r="G40" s="21" t="s">
        <v>63</v>
      </c>
      <c r="H40" s="2">
        <v>3</v>
      </c>
      <c r="I40" s="2">
        <v>29</v>
      </c>
      <c r="J40" s="2">
        <v>0</v>
      </c>
      <c r="K40" s="21" t="s">
        <v>97</v>
      </c>
      <c r="L40" s="21" t="s">
        <v>265</v>
      </c>
      <c r="M40" s="21" t="s">
        <v>101</v>
      </c>
      <c r="N40" s="3"/>
      <c r="O40" s="21" t="s">
        <v>64</v>
      </c>
      <c r="P40" s="21" t="s">
        <v>52</v>
      </c>
      <c r="Q40" s="21" t="s">
        <v>62</v>
      </c>
      <c r="R40" s="2">
        <v>11</v>
      </c>
      <c r="S40" s="2">
        <v>87</v>
      </c>
      <c r="T40" s="2">
        <v>54</v>
      </c>
      <c r="U40" s="4">
        <v>62.068965517241381</v>
      </c>
      <c r="V40" s="21" t="s">
        <v>281</v>
      </c>
      <c r="W40">
        <v>1</v>
      </c>
      <c r="X40"/>
      <c r="Y40" s="20"/>
    </row>
    <row r="41" spans="1:25" x14ac:dyDescent="0.3">
      <c r="A41" s="20" t="s">
        <v>279</v>
      </c>
      <c r="B41" s="21" t="s">
        <v>9</v>
      </c>
      <c r="C41" s="21" t="s">
        <v>333</v>
      </c>
      <c r="D41" s="3">
        <v>45709</v>
      </c>
      <c r="E41" s="21" t="s">
        <v>10</v>
      </c>
      <c r="F41" s="21" t="s">
        <v>11</v>
      </c>
      <c r="G41" s="21" t="s">
        <v>84</v>
      </c>
      <c r="H41" s="2">
        <v>1</v>
      </c>
      <c r="I41" s="2">
        <v>2199</v>
      </c>
      <c r="J41" s="2">
        <v>220</v>
      </c>
      <c r="K41" s="21" t="s">
        <v>97</v>
      </c>
      <c r="L41" s="21" t="s">
        <v>12</v>
      </c>
      <c r="M41" s="21" t="s">
        <v>13</v>
      </c>
      <c r="N41" s="3">
        <v>44744</v>
      </c>
      <c r="O41" s="21" t="s">
        <v>85</v>
      </c>
      <c r="P41" s="21" t="s">
        <v>44</v>
      </c>
      <c r="Q41" s="21" t="s">
        <v>56</v>
      </c>
      <c r="R41" s="2">
        <v>1380</v>
      </c>
      <c r="S41" s="2">
        <v>1979</v>
      </c>
      <c r="T41" s="2">
        <v>599</v>
      </c>
      <c r="U41" s="4">
        <v>30.267812026275898</v>
      </c>
      <c r="V41" s="21" t="s">
        <v>281</v>
      </c>
      <c r="W41">
        <v>1</v>
      </c>
      <c r="X41">
        <v>32</v>
      </c>
      <c r="Y41" s="20">
        <v>1</v>
      </c>
    </row>
    <row r="42" spans="1:25" x14ac:dyDescent="0.3">
      <c r="A42" s="20" t="s">
        <v>279</v>
      </c>
      <c r="B42" s="21" t="s">
        <v>9</v>
      </c>
      <c r="C42" s="21" t="s">
        <v>334</v>
      </c>
      <c r="D42" s="3">
        <v>45709</v>
      </c>
      <c r="E42" s="21" t="s">
        <v>289</v>
      </c>
      <c r="F42" s="21" t="s">
        <v>290</v>
      </c>
      <c r="G42" s="21" t="s">
        <v>68</v>
      </c>
      <c r="H42" s="2">
        <v>1</v>
      </c>
      <c r="I42" s="2">
        <v>229</v>
      </c>
      <c r="J42" s="2">
        <v>0</v>
      </c>
      <c r="K42" s="21" t="s">
        <v>97</v>
      </c>
      <c r="L42" s="21" t="s">
        <v>7</v>
      </c>
      <c r="M42" s="21" t="s">
        <v>30</v>
      </c>
      <c r="N42" s="3">
        <v>45685</v>
      </c>
      <c r="O42" s="21" t="s">
        <v>69</v>
      </c>
      <c r="P42" s="21" t="s">
        <v>44</v>
      </c>
      <c r="Q42" s="21" t="s">
        <v>70</v>
      </c>
      <c r="R42" s="2">
        <v>110</v>
      </c>
      <c r="S42" s="2">
        <v>229</v>
      </c>
      <c r="T42" s="2">
        <v>119</v>
      </c>
      <c r="U42" s="4">
        <v>51.965065502183407</v>
      </c>
      <c r="V42" s="21" t="s">
        <v>281</v>
      </c>
      <c r="W42">
        <v>1</v>
      </c>
      <c r="X42">
        <v>10</v>
      </c>
      <c r="Y42" s="20">
        <v>1</v>
      </c>
    </row>
    <row r="43" spans="1:25" x14ac:dyDescent="0.3">
      <c r="A43" s="20" t="s">
        <v>279</v>
      </c>
      <c r="B43" s="21" t="s">
        <v>9</v>
      </c>
      <c r="C43" s="21" t="s">
        <v>335</v>
      </c>
      <c r="D43" s="3">
        <v>45710</v>
      </c>
      <c r="E43" s="21" t="s">
        <v>303</v>
      </c>
      <c r="F43" s="21" t="s">
        <v>304</v>
      </c>
      <c r="G43" s="21" t="s">
        <v>71</v>
      </c>
      <c r="H43" s="2">
        <v>1</v>
      </c>
      <c r="I43" s="2">
        <v>459</v>
      </c>
      <c r="J43" s="2">
        <v>46</v>
      </c>
      <c r="K43" s="21" t="s">
        <v>97</v>
      </c>
      <c r="L43" s="21" t="s">
        <v>7</v>
      </c>
      <c r="M43" s="21" t="s">
        <v>30</v>
      </c>
      <c r="N43" s="3">
        <v>45687</v>
      </c>
      <c r="O43" s="21" t="s">
        <v>72</v>
      </c>
      <c r="P43" s="21" t="s">
        <v>48</v>
      </c>
      <c r="Q43" s="21" t="s">
        <v>49</v>
      </c>
      <c r="R43" s="2">
        <v>210</v>
      </c>
      <c r="S43" s="2">
        <v>413</v>
      </c>
      <c r="T43" s="2">
        <v>203</v>
      </c>
      <c r="U43" s="4">
        <v>49.152542372881356</v>
      </c>
      <c r="V43" s="21" t="s">
        <v>281</v>
      </c>
      <c r="W43">
        <v>1</v>
      </c>
      <c r="X43">
        <v>10</v>
      </c>
      <c r="Y43" s="20">
        <v>1</v>
      </c>
    </row>
    <row r="44" spans="1:25" x14ac:dyDescent="0.3">
      <c r="A44" s="20" t="s">
        <v>279</v>
      </c>
      <c r="B44" s="21" t="s">
        <v>9</v>
      </c>
      <c r="C44" s="21" t="s">
        <v>336</v>
      </c>
      <c r="D44" s="3">
        <v>45710</v>
      </c>
      <c r="E44" s="21" t="s">
        <v>101</v>
      </c>
      <c r="F44" s="21" t="s">
        <v>337</v>
      </c>
      <c r="G44" s="21" t="s">
        <v>73</v>
      </c>
      <c r="H44" s="2">
        <v>4</v>
      </c>
      <c r="I44" s="2">
        <v>19</v>
      </c>
      <c r="J44" s="2">
        <v>0</v>
      </c>
      <c r="K44" s="21" t="s">
        <v>97</v>
      </c>
      <c r="L44" s="21" t="s">
        <v>265</v>
      </c>
      <c r="M44" s="21" t="s">
        <v>101</v>
      </c>
      <c r="N44" s="3"/>
      <c r="O44" s="21" t="s">
        <v>74</v>
      </c>
      <c r="P44" s="21" t="s">
        <v>52</v>
      </c>
      <c r="Q44" s="21" t="s">
        <v>62</v>
      </c>
      <c r="R44" s="2">
        <v>8</v>
      </c>
      <c r="S44" s="2">
        <v>76</v>
      </c>
      <c r="T44" s="2">
        <v>44</v>
      </c>
      <c r="U44" s="4">
        <v>57.894736842105267</v>
      </c>
      <c r="V44" s="21" t="s">
        <v>281</v>
      </c>
      <c r="W44">
        <v>1</v>
      </c>
      <c r="X44"/>
      <c r="Y44" s="20"/>
    </row>
    <row r="45" spans="1:25" x14ac:dyDescent="0.3">
      <c r="A45" s="20" t="s">
        <v>279</v>
      </c>
      <c r="B45" s="21" t="s">
        <v>9</v>
      </c>
      <c r="C45" s="21" t="s">
        <v>338</v>
      </c>
      <c r="D45" s="3">
        <v>45711</v>
      </c>
      <c r="E45" s="21" t="s">
        <v>23</v>
      </c>
      <c r="F45" s="21" t="s">
        <v>24</v>
      </c>
      <c r="G45" s="21" t="s">
        <v>75</v>
      </c>
      <c r="H45" s="2">
        <v>1</v>
      </c>
      <c r="I45" s="2">
        <v>599</v>
      </c>
      <c r="J45" s="2">
        <v>59.9</v>
      </c>
      <c r="K45" s="21" t="s">
        <v>97</v>
      </c>
      <c r="L45" s="21" t="s">
        <v>7</v>
      </c>
      <c r="M45" s="21" t="s">
        <v>13</v>
      </c>
      <c r="N45" s="3">
        <v>45030</v>
      </c>
      <c r="O45" s="21" t="s">
        <v>76</v>
      </c>
      <c r="P45" s="21" t="s">
        <v>44</v>
      </c>
      <c r="Q45" s="21" t="s">
        <v>59</v>
      </c>
      <c r="R45" s="2">
        <v>350</v>
      </c>
      <c r="S45" s="2">
        <v>539.1</v>
      </c>
      <c r="T45" s="2">
        <v>189.10000000000002</v>
      </c>
      <c r="U45" s="4">
        <v>35.076980152105364</v>
      </c>
      <c r="V45" s="21" t="s">
        <v>281</v>
      </c>
      <c r="W45">
        <v>1</v>
      </c>
      <c r="X45">
        <v>18</v>
      </c>
      <c r="Y45" s="20">
        <v>1</v>
      </c>
    </row>
    <row r="46" spans="1:25" x14ac:dyDescent="0.3">
      <c r="A46" s="20" t="s">
        <v>279</v>
      </c>
      <c r="B46" s="21" t="s">
        <v>9</v>
      </c>
      <c r="C46" s="21" t="s">
        <v>339</v>
      </c>
      <c r="D46" s="3">
        <v>45711</v>
      </c>
      <c r="E46" s="21" t="s">
        <v>15</v>
      </c>
      <c r="F46" s="21" t="s">
        <v>16</v>
      </c>
      <c r="G46" s="21" t="s">
        <v>79</v>
      </c>
      <c r="H46" s="2">
        <v>1</v>
      </c>
      <c r="I46" s="2">
        <v>189</v>
      </c>
      <c r="J46" s="2">
        <v>0</v>
      </c>
      <c r="K46" s="21" t="s">
        <v>97</v>
      </c>
      <c r="L46" s="21" t="s">
        <v>7</v>
      </c>
      <c r="M46" s="21" t="s">
        <v>13</v>
      </c>
      <c r="N46" s="3">
        <v>44883</v>
      </c>
      <c r="O46" s="21" t="s">
        <v>80</v>
      </c>
      <c r="P46" s="21" t="s">
        <v>44</v>
      </c>
      <c r="Q46" s="21" t="s">
        <v>70</v>
      </c>
      <c r="R46" s="2">
        <v>95</v>
      </c>
      <c r="S46" s="2">
        <v>189</v>
      </c>
      <c r="T46" s="2">
        <v>94</v>
      </c>
      <c r="U46" s="4">
        <v>49.735449735449734</v>
      </c>
      <c r="V46" s="21" t="s">
        <v>281</v>
      </c>
      <c r="W46">
        <v>1</v>
      </c>
      <c r="X46">
        <v>32</v>
      </c>
      <c r="Y46" s="20">
        <v>1</v>
      </c>
    </row>
    <row r="47" spans="1:25" x14ac:dyDescent="0.3">
      <c r="A47" s="20" t="s">
        <v>279</v>
      </c>
      <c r="B47" s="21" t="s">
        <v>9</v>
      </c>
      <c r="C47" s="21" t="s">
        <v>340</v>
      </c>
      <c r="D47" s="3">
        <v>45712</v>
      </c>
      <c r="E47" s="21" t="s">
        <v>101</v>
      </c>
      <c r="F47" s="21" t="s">
        <v>341</v>
      </c>
      <c r="G47" s="21" t="s">
        <v>81</v>
      </c>
      <c r="H47" s="2">
        <v>2</v>
      </c>
      <c r="I47" s="2">
        <v>89</v>
      </c>
      <c r="J47" s="2">
        <v>8.9</v>
      </c>
      <c r="K47" s="21" t="s">
        <v>97</v>
      </c>
      <c r="L47" s="21" t="s">
        <v>265</v>
      </c>
      <c r="M47" s="21" t="s">
        <v>101</v>
      </c>
      <c r="N47" s="3"/>
      <c r="O47" s="21" t="s">
        <v>82</v>
      </c>
      <c r="P47" s="21" t="s">
        <v>52</v>
      </c>
      <c r="Q47" s="21" t="s">
        <v>83</v>
      </c>
      <c r="R47" s="2">
        <v>42</v>
      </c>
      <c r="S47" s="2">
        <v>169.1</v>
      </c>
      <c r="T47" s="2">
        <v>85.1</v>
      </c>
      <c r="U47" s="4">
        <v>50.325251330573629</v>
      </c>
      <c r="V47" s="21" t="s">
        <v>281</v>
      </c>
      <c r="W47">
        <v>1</v>
      </c>
      <c r="X47"/>
      <c r="Y47" s="20"/>
    </row>
    <row r="48" spans="1:25" x14ac:dyDescent="0.3">
      <c r="A48" s="20" t="s">
        <v>279</v>
      </c>
      <c r="B48" s="21" t="s">
        <v>9</v>
      </c>
      <c r="C48" s="21" t="s">
        <v>342</v>
      </c>
      <c r="D48" s="3">
        <v>45713</v>
      </c>
      <c r="E48" s="21" t="s">
        <v>18</v>
      </c>
      <c r="F48" s="21" t="s">
        <v>19</v>
      </c>
      <c r="G48" s="21" t="s">
        <v>54</v>
      </c>
      <c r="H48" s="2">
        <v>1</v>
      </c>
      <c r="I48" s="2">
        <v>1299</v>
      </c>
      <c r="J48" s="2">
        <v>0</v>
      </c>
      <c r="K48" s="21" t="s">
        <v>97</v>
      </c>
      <c r="L48" s="21" t="s">
        <v>20</v>
      </c>
      <c r="M48" s="21" t="s">
        <v>13</v>
      </c>
      <c r="N48" s="3">
        <v>44931</v>
      </c>
      <c r="O48" s="21" t="s">
        <v>55</v>
      </c>
      <c r="P48" s="21" t="s">
        <v>44</v>
      </c>
      <c r="Q48" s="21" t="s">
        <v>56</v>
      </c>
      <c r="R48" s="2">
        <v>820</v>
      </c>
      <c r="S48" s="2">
        <v>1299</v>
      </c>
      <c r="T48" s="2">
        <v>479</v>
      </c>
      <c r="U48" s="4">
        <v>36.87451886066205</v>
      </c>
      <c r="V48" s="21" t="s">
        <v>281</v>
      </c>
      <c r="W48">
        <v>1</v>
      </c>
      <c r="X48">
        <v>35</v>
      </c>
      <c r="Y48" s="20">
        <v>1</v>
      </c>
    </row>
    <row r="49" spans="1:25" x14ac:dyDescent="0.3">
      <c r="A49" s="20" t="s">
        <v>279</v>
      </c>
      <c r="B49" s="21" t="s">
        <v>9</v>
      </c>
      <c r="C49" s="21" t="s">
        <v>343</v>
      </c>
      <c r="D49" s="3">
        <v>45713</v>
      </c>
      <c r="E49" s="21" t="s">
        <v>5</v>
      </c>
      <c r="F49" s="21" t="s">
        <v>6</v>
      </c>
      <c r="G49" s="21" t="s">
        <v>42</v>
      </c>
      <c r="H49" s="2">
        <v>2</v>
      </c>
      <c r="I49" s="2">
        <v>349</v>
      </c>
      <c r="J49" s="2">
        <v>34.9</v>
      </c>
      <c r="K49" s="21" t="s">
        <v>97</v>
      </c>
      <c r="L49" s="21" t="s">
        <v>7</v>
      </c>
      <c r="M49" s="21" t="s">
        <v>8</v>
      </c>
      <c r="N49" s="3">
        <v>44635</v>
      </c>
      <c r="O49" s="21" t="s">
        <v>43</v>
      </c>
      <c r="P49" s="21" t="s">
        <v>44</v>
      </c>
      <c r="Q49" s="21" t="s">
        <v>45</v>
      </c>
      <c r="R49" s="2">
        <v>165</v>
      </c>
      <c r="S49" s="2">
        <v>663.1</v>
      </c>
      <c r="T49" s="2">
        <v>333.1</v>
      </c>
      <c r="U49" s="4">
        <v>50.233750565525561</v>
      </c>
      <c r="V49" s="21" t="s">
        <v>281</v>
      </c>
      <c r="W49">
        <v>1</v>
      </c>
      <c r="X49">
        <v>52</v>
      </c>
      <c r="Y49" s="20">
        <v>1</v>
      </c>
    </row>
    <row r="50" spans="1:25" x14ac:dyDescent="0.3">
      <c r="A50" s="20" t="s">
        <v>279</v>
      </c>
      <c r="B50" s="21" t="s">
        <v>9</v>
      </c>
      <c r="C50" s="21" t="s">
        <v>344</v>
      </c>
      <c r="D50" s="3">
        <v>45714</v>
      </c>
      <c r="E50" s="21" t="s">
        <v>21</v>
      </c>
      <c r="F50" s="21" t="s">
        <v>22</v>
      </c>
      <c r="G50" s="21" t="s">
        <v>60</v>
      </c>
      <c r="H50" s="2">
        <v>1</v>
      </c>
      <c r="I50" s="2">
        <v>899</v>
      </c>
      <c r="J50" s="2">
        <v>0</v>
      </c>
      <c r="K50" s="21" t="s">
        <v>97</v>
      </c>
      <c r="L50" s="21" t="s">
        <v>7</v>
      </c>
      <c r="M50" s="21" t="s">
        <v>8</v>
      </c>
      <c r="N50" s="3">
        <v>44948</v>
      </c>
      <c r="O50" s="21" t="s">
        <v>61</v>
      </c>
      <c r="P50" s="21" t="s">
        <v>48</v>
      </c>
      <c r="Q50" s="21" t="s">
        <v>62</v>
      </c>
      <c r="R50" s="2">
        <v>520</v>
      </c>
      <c r="S50" s="2">
        <v>899</v>
      </c>
      <c r="T50" s="2">
        <v>379</v>
      </c>
      <c r="U50" s="4">
        <v>42.157953281423808</v>
      </c>
      <c r="V50" s="21" t="s">
        <v>281</v>
      </c>
      <c r="W50">
        <v>1</v>
      </c>
      <c r="X50">
        <v>32</v>
      </c>
      <c r="Y50" s="20">
        <v>1</v>
      </c>
    </row>
    <row r="51" spans="1:25" x14ac:dyDescent="0.3">
      <c r="A51" s="20" t="s">
        <v>279</v>
      </c>
      <c r="B51" s="21" t="s">
        <v>9</v>
      </c>
      <c r="C51" s="21" t="s">
        <v>345</v>
      </c>
      <c r="D51" s="3">
        <v>45714</v>
      </c>
      <c r="E51" s="21" t="s">
        <v>101</v>
      </c>
      <c r="F51" s="21" t="s">
        <v>346</v>
      </c>
      <c r="G51" s="21" t="s">
        <v>50</v>
      </c>
      <c r="H51" s="2">
        <v>3</v>
      </c>
      <c r="I51" s="2">
        <v>45</v>
      </c>
      <c r="J51" s="2">
        <v>0</v>
      </c>
      <c r="K51" s="21" t="s">
        <v>97</v>
      </c>
      <c r="L51" s="21" t="s">
        <v>265</v>
      </c>
      <c r="M51" s="21" t="s">
        <v>101</v>
      </c>
      <c r="N51" s="3"/>
      <c r="O51" s="21" t="s">
        <v>51</v>
      </c>
      <c r="P51" s="21" t="s">
        <v>52</v>
      </c>
      <c r="Q51" s="21" t="s">
        <v>53</v>
      </c>
      <c r="R51" s="2">
        <v>18</v>
      </c>
      <c r="S51" s="2">
        <v>135</v>
      </c>
      <c r="T51" s="2">
        <v>81</v>
      </c>
      <c r="U51" s="4">
        <v>60</v>
      </c>
      <c r="V51" s="21" t="s">
        <v>281</v>
      </c>
      <c r="W51">
        <v>1</v>
      </c>
      <c r="X51"/>
      <c r="Y51" s="20"/>
    </row>
    <row r="52" spans="1:25" x14ac:dyDescent="0.3">
      <c r="A52" s="20" t="s">
        <v>279</v>
      </c>
      <c r="B52" s="21" t="s">
        <v>9</v>
      </c>
      <c r="C52" s="21" t="s">
        <v>347</v>
      </c>
      <c r="D52" s="3">
        <v>45715</v>
      </c>
      <c r="E52" s="21" t="s">
        <v>289</v>
      </c>
      <c r="F52" s="21" t="s">
        <v>290</v>
      </c>
      <c r="G52" s="21" t="s">
        <v>65</v>
      </c>
      <c r="H52" s="2">
        <v>1</v>
      </c>
      <c r="I52" s="2">
        <v>749</v>
      </c>
      <c r="J52" s="2">
        <v>74.900000000000006</v>
      </c>
      <c r="K52" s="21" t="s">
        <v>97</v>
      </c>
      <c r="L52" s="21" t="s">
        <v>7</v>
      </c>
      <c r="M52" s="21" t="s">
        <v>30</v>
      </c>
      <c r="N52" s="3">
        <v>45685</v>
      </c>
      <c r="O52" s="21" t="s">
        <v>66</v>
      </c>
      <c r="P52" s="21" t="s">
        <v>44</v>
      </c>
      <c r="Q52" s="21" t="s">
        <v>67</v>
      </c>
      <c r="R52" s="2">
        <v>490</v>
      </c>
      <c r="S52" s="2">
        <v>674.1</v>
      </c>
      <c r="T52" s="2">
        <v>184.10000000000002</v>
      </c>
      <c r="U52" s="4">
        <v>27.310488058151609</v>
      </c>
      <c r="V52" s="21" t="s">
        <v>281</v>
      </c>
      <c r="W52">
        <v>1</v>
      </c>
      <c r="X52">
        <v>10</v>
      </c>
      <c r="Y52" s="20">
        <v>1</v>
      </c>
    </row>
    <row r="53" spans="1:25" x14ac:dyDescent="0.3">
      <c r="A53" s="20" t="s">
        <v>279</v>
      </c>
      <c r="B53" s="21" t="s">
        <v>9</v>
      </c>
      <c r="C53" s="21" t="s">
        <v>348</v>
      </c>
      <c r="D53" s="3">
        <v>45715</v>
      </c>
      <c r="E53" s="21" t="s">
        <v>303</v>
      </c>
      <c r="F53" s="21" t="s">
        <v>304</v>
      </c>
      <c r="G53" s="21" t="s">
        <v>57</v>
      </c>
      <c r="H53" s="2">
        <v>1</v>
      </c>
      <c r="I53" s="2">
        <v>529</v>
      </c>
      <c r="J53" s="2">
        <v>0</v>
      </c>
      <c r="K53" s="21" t="s">
        <v>97</v>
      </c>
      <c r="L53" s="21" t="s">
        <v>7</v>
      </c>
      <c r="M53" s="21" t="s">
        <v>30</v>
      </c>
      <c r="N53" s="3">
        <v>45687</v>
      </c>
      <c r="O53" s="21" t="s">
        <v>58</v>
      </c>
      <c r="P53" s="21" t="s">
        <v>44</v>
      </c>
      <c r="Q53" s="21" t="s">
        <v>59</v>
      </c>
      <c r="R53" s="2">
        <v>260</v>
      </c>
      <c r="S53" s="2">
        <v>529</v>
      </c>
      <c r="T53" s="2">
        <v>269</v>
      </c>
      <c r="U53" s="4">
        <v>50.850661625708881</v>
      </c>
      <c r="V53" s="21" t="s">
        <v>281</v>
      </c>
      <c r="W53">
        <v>1</v>
      </c>
      <c r="X53">
        <v>10</v>
      </c>
      <c r="Y53" s="20">
        <v>1</v>
      </c>
    </row>
    <row r="54" spans="1:25" x14ac:dyDescent="0.3">
      <c r="A54" s="20" t="s">
        <v>279</v>
      </c>
      <c r="B54" s="21" t="s">
        <v>9</v>
      </c>
      <c r="C54" s="21" t="s">
        <v>349</v>
      </c>
      <c r="D54" s="3">
        <v>45716</v>
      </c>
      <c r="E54" s="21" t="s">
        <v>10</v>
      </c>
      <c r="F54" s="21" t="s">
        <v>11</v>
      </c>
      <c r="G54" s="21" t="s">
        <v>46</v>
      </c>
      <c r="H54" s="2">
        <v>2</v>
      </c>
      <c r="I54" s="2">
        <v>199</v>
      </c>
      <c r="J54" s="2">
        <v>20</v>
      </c>
      <c r="K54" s="21" t="s">
        <v>97</v>
      </c>
      <c r="L54" s="21" t="s">
        <v>12</v>
      </c>
      <c r="M54" s="21" t="s">
        <v>13</v>
      </c>
      <c r="N54" s="3">
        <v>44744</v>
      </c>
      <c r="O54" s="21" t="s">
        <v>47</v>
      </c>
      <c r="P54" s="21" t="s">
        <v>48</v>
      </c>
      <c r="Q54" s="21" t="s">
        <v>49</v>
      </c>
      <c r="R54" s="2">
        <v>95</v>
      </c>
      <c r="S54" s="2">
        <v>378</v>
      </c>
      <c r="T54" s="2">
        <v>188</v>
      </c>
      <c r="U54" s="4">
        <v>49.735449735449734</v>
      </c>
      <c r="V54" s="21" t="s">
        <v>281</v>
      </c>
      <c r="W54">
        <v>1</v>
      </c>
      <c r="X54">
        <v>32</v>
      </c>
      <c r="Y54" s="20">
        <v>1</v>
      </c>
    </row>
    <row r="55" spans="1:25" x14ac:dyDescent="0.3">
      <c r="A55" s="20" t="s">
        <v>279</v>
      </c>
      <c r="B55" s="21" t="s">
        <v>9</v>
      </c>
      <c r="C55" s="21" t="s">
        <v>350</v>
      </c>
      <c r="D55" s="3">
        <v>45716</v>
      </c>
      <c r="E55" s="21" t="s">
        <v>101</v>
      </c>
      <c r="F55" s="21" t="s">
        <v>351</v>
      </c>
      <c r="G55" s="21" t="s">
        <v>63</v>
      </c>
      <c r="H55" s="2">
        <v>2</v>
      </c>
      <c r="I55" s="2">
        <v>29</v>
      </c>
      <c r="J55" s="2">
        <v>0</v>
      </c>
      <c r="K55" s="21" t="s">
        <v>97</v>
      </c>
      <c r="L55" s="21" t="s">
        <v>265</v>
      </c>
      <c r="M55" s="21" t="s">
        <v>101</v>
      </c>
      <c r="N55" s="3"/>
      <c r="O55" s="21" t="s">
        <v>64</v>
      </c>
      <c r="P55" s="21" t="s">
        <v>52</v>
      </c>
      <c r="Q55" s="21" t="s">
        <v>62</v>
      </c>
      <c r="R55" s="2">
        <v>11</v>
      </c>
      <c r="S55" s="2">
        <v>58</v>
      </c>
      <c r="T55" s="2">
        <v>36</v>
      </c>
      <c r="U55" s="4">
        <v>62.068965517241381</v>
      </c>
      <c r="V55" s="21" t="s">
        <v>281</v>
      </c>
      <c r="W55">
        <v>1</v>
      </c>
      <c r="X55"/>
      <c r="Y55" s="20"/>
    </row>
    <row r="56" spans="1:25" x14ac:dyDescent="0.3">
      <c r="A56" s="20" t="s">
        <v>352</v>
      </c>
      <c r="B56" s="21" t="s">
        <v>9</v>
      </c>
      <c r="C56" s="21" t="s">
        <v>96</v>
      </c>
      <c r="D56" s="3">
        <v>45658</v>
      </c>
      <c r="E56" s="21" t="s">
        <v>5</v>
      </c>
      <c r="F56" s="21" t="s">
        <v>6</v>
      </c>
      <c r="G56" s="21" t="s">
        <v>42</v>
      </c>
      <c r="H56" s="2">
        <v>2</v>
      </c>
      <c r="I56" s="2">
        <v>349</v>
      </c>
      <c r="J56" s="2">
        <v>0</v>
      </c>
      <c r="K56" s="21" t="s">
        <v>97</v>
      </c>
      <c r="L56" s="21" t="s">
        <v>7</v>
      </c>
      <c r="M56" s="21" t="s">
        <v>8</v>
      </c>
      <c r="N56" s="3">
        <v>44635</v>
      </c>
      <c r="O56" s="21" t="s">
        <v>43</v>
      </c>
      <c r="P56" s="21" t="s">
        <v>44</v>
      </c>
      <c r="Q56" s="21" t="s">
        <v>45</v>
      </c>
      <c r="R56" s="2">
        <v>165</v>
      </c>
      <c r="S56" s="2">
        <v>698</v>
      </c>
      <c r="T56" s="2">
        <v>368</v>
      </c>
      <c r="U56" s="4">
        <v>52.722063037249278</v>
      </c>
      <c r="V56" s="21" t="s">
        <v>98</v>
      </c>
      <c r="W56">
        <v>1</v>
      </c>
      <c r="X56">
        <v>52</v>
      </c>
      <c r="Y56" s="20">
        <v>1</v>
      </c>
    </row>
    <row r="57" spans="1:25" x14ac:dyDescent="0.3">
      <c r="A57" s="20" t="s">
        <v>352</v>
      </c>
      <c r="B57" s="21" t="s">
        <v>9</v>
      </c>
      <c r="C57" s="21" t="s">
        <v>108</v>
      </c>
      <c r="D57" s="3">
        <v>45658</v>
      </c>
      <c r="E57" s="21" t="s">
        <v>10</v>
      </c>
      <c r="F57" s="21" t="s">
        <v>11</v>
      </c>
      <c r="G57" s="21" t="s">
        <v>60</v>
      </c>
      <c r="H57" s="2">
        <v>1</v>
      </c>
      <c r="I57" s="2">
        <v>899</v>
      </c>
      <c r="J57" s="2">
        <v>50</v>
      </c>
      <c r="K57" s="21" t="s">
        <v>97</v>
      </c>
      <c r="L57" s="21" t="s">
        <v>12</v>
      </c>
      <c r="M57" s="21" t="s">
        <v>13</v>
      </c>
      <c r="N57" s="3">
        <v>44744</v>
      </c>
      <c r="O57" s="21" t="s">
        <v>61</v>
      </c>
      <c r="P57" s="21" t="s">
        <v>48</v>
      </c>
      <c r="Q57" s="21" t="s">
        <v>62</v>
      </c>
      <c r="R57" s="2">
        <v>520</v>
      </c>
      <c r="S57" s="2">
        <v>849</v>
      </c>
      <c r="T57" s="2">
        <v>329</v>
      </c>
      <c r="U57" s="4">
        <v>38.751472320376912</v>
      </c>
      <c r="V57" s="21" t="s">
        <v>98</v>
      </c>
      <c r="W57">
        <v>1</v>
      </c>
      <c r="X57">
        <v>32</v>
      </c>
      <c r="Y57" s="20">
        <v>1</v>
      </c>
    </row>
    <row r="58" spans="1:25" x14ac:dyDescent="0.3">
      <c r="A58" s="20" t="s">
        <v>352</v>
      </c>
      <c r="B58" s="21" t="s">
        <v>9</v>
      </c>
      <c r="C58" s="21" t="s">
        <v>106</v>
      </c>
      <c r="D58" s="3">
        <v>45659</v>
      </c>
      <c r="E58" s="21" t="s">
        <v>101</v>
      </c>
      <c r="F58" s="21" t="s">
        <v>107</v>
      </c>
      <c r="G58" s="21" t="s">
        <v>50</v>
      </c>
      <c r="H58" s="2">
        <v>3</v>
      </c>
      <c r="I58" s="2">
        <v>45</v>
      </c>
      <c r="J58" s="2">
        <v>0</v>
      </c>
      <c r="K58" s="21" t="s">
        <v>97</v>
      </c>
      <c r="L58" s="21" t="s">
        <v>265</v>
      </c>
      <c r="M58" s="21" t="s">
        <v>101</v>
      </c>
      <c r="N58" s="3"/>
      <c r="O58" s="21" t="s">
        <v>51</v>
      </c>
      <c r="P58" s="21" t="s">
        <v>52</v>
      </c>
      <c r="Q58" s="21" t="s">
        <v>53</v>
      </c>
      <c r="R58" s="2">
        <v>18</v>
      </c>
      <c r="S58" s="2">
        <v>135</v>
      </c>
      <c r="T58" s="2">
        <v>81</v>
      </c>
      <c r="U58" s="4">
        <v>60</v>
      </c>
      <c r="V58" s="21" t="s">
        <v>98</v>
      </c>
      <c r="W58">
        <v>1</v>
      </c>
      <c r="X58"/>
      <c r="Y58" s="20"/>
    </row>
    <row r="59" spans="1:25" x14ac:dyDescent="0.3">
      <c r="A59" s="20" t="s">
        <v>352</v>
      </c>
      <c r="B59" s="21" t="s">
        <v>9</v>
      </c>
      <c r="C59" s="21" t="s">
        <v>99</v>
      </c>
      <c r="D59" s="3">
        <v>45659</v>
      </c>
      <c r="E59" s="21" t="s">
        <v>21</v>
      </c>
      <c r="F59" s="21" t="s">
        <v>22</v>
      </c>
      <c r="G59" s="21" t="s">
        <v>42</v>
      </c>
      <c r="H59" s="2">
        <v>1</v>
      </c>
      <c r="I59" s="2">
        <v>349</v>
      </c>
      <c r="J59" s="2">
        <v>34.9</v>
      </c>
      <c r="K59" s="21" t="s">
        <v>97</v>
      </c>
      <c r="L59" s="21" t="s">
        <v>7</v>
      </c>
      <c r="M59" s="21" t="s">
        <v>8</v>
      </c>
      <c r="N59" s="3">
        <v>44948</v>
      </c>
      <c r="O59" s="21" t="s">
        <v>43</v>
      </c>
      <c r="P59" s="21" t="s">
        <v>44</v>
      </c>
      <c r="Q59" s="21" t="s">
        <v>45</v>
      </c>
      <c r="R59" s="2">
        <v>165</v>
      </c>
      <c r="S59" s="2">
        <v>314.10000000000002</v>
      </c>
      <c r="T59" s="2">
        <v>149.10000000000002</v>
      </c>
      <c r="U59" s="4">
        <v>47.468958930276983</v>
      </c>
      <c r="V59" s="21" t="s">
        <v>98</v>
      </c>
      <c r="W59">
        <v>1</v>
      </c>
      <c r="X59">
        <v>32</v>
      </c>
      <c r="Y59" s="20">
        <v>1</v>
      </c>
    </row>
    <row r="60" spans="1:25" x14ac:dyDescent="0.3">
      <c r="A60" s="20" t="s">
        <v>352</v>
      </c>
      <c r="B60" s="21" t="s">
        <v>9</v>
      </c>
      <c r="C60" s="21" t="s">
        <v>103</v>
      </c>
      <c r="D60" s="3">
        <v>45660</v>
      </c>
      <c r="E60" s="21" t="s">
        <v>5</v>
      </c>
      <c r="F60" s="21" t="s">
        <v>6</v>
      </c>
      <c r="G60" s="21" t="s">
        <v>54</v>
      </c>
      <c r="H60" s="2">
        <v>1</v>
      </c>
      <c r="I60" s="2">
        <v>1299</v>
      </c>
      <c r="J60" s="2">
        <v>0</v>
      </c>
      <c r="K60" s="21" t="s">
        <v>97</v>
      </c>
      <c r="L60" s="21" t="s">
        <v>7</v>
      </c>
      <c r="M60" s="21" t="s">
        <v>8</v>
      </c>
      <c r="N60" s="3">
        <v>44635</v>
      </c>
      <c r="O60" s="21" t="s">
        <v>55</v>
      </c>
      <c r="P60" s="21" t="s">
        <v>44</v>
      </c>
      <c r="Q60" s="21" t="s">
        <v>56</v>
      </c>
      <c r="R60" s="2">
        <v>820</v>
      </c>
      <c r="S60" s="2">
        <v>1299</v>
      </c>
      <c r="T60" s="2">
        <v>479</v>
      </c>
      <c r="U60" s="4">
        <v>36.87451886066205</v>
      </c>
      <c r="V60" s="21" t="s">
        <v>98</v>
      </c>
      <c r="W60">
        <v>1</v>
      </c>
      <c r="X60">
        <v>52</v>
      </c>
      <c r="Y60" s="20">
        <v>1</v>
      </c>
    </row>
    <row r="61" spans="1:25" x14ac:dyDescent="0.3">
      <c r="A61" s="20" t="s">
        <v>352</v>
      </c>
      <c r="B61" s="21" t="s">
        <v>9</v>
      </c>
      <c r="C61" s="21" t="s">
        <v>111</v>
      </c>
      <c r="D61" s="3">
        <v>45661</v>
      </c>
      <c r="E61" s="21" t="s">
        <v>15</v>
      </c>
      <c r="F61" s="21" t="s">
        <v>16</v>
      </c>
      <c r="G61" s="21" t="s">
        <v>57</v>
      </c>
      <c r="H61" s="2">
        <v>1</v>
      </c>
      <c r="I61" s="2">
        <v>529</v>
      </c>
      <c r="J61" s="2">
        <v>52.9</v>
      </c>
      <c r="K61" s="21" t="s">
        <v>97</v>
      </c>
      <c r="L61" s="21" t="s">
        <v>7</v>
      </c>
      <c r="M61" s="21" t="s">
        <v>13</v>
      </c>
      <c r="N61" s="3">
        <v>44883</v>
      </c>
      <c r="O61" s="21" t="s">
        <v>58</v>
      </c>
      <c r="P61" s="21" t="s">
        <v>44</v>
      </c>
      <c r="Q61" s="21" t="s">
        <v>59</v>
      </c>
      <c r="R61" s="2">
        <v>260</v>
      </c>
      <c r="S61" s="2">
        <v>476.1</v>
      </c>
      <c r="T61" s="2">
        <v>216.10000000000002</v>
      </c>
      <c r="U61" s="4">
        <v>45.389624028565429</v>
      </c>
      <c r="V61" s="21" t="s">
        <v>98</v>
      </c>
      <c r="W61">
        <v>1</v>
      </c>
      <c r="X61">
        <v>32</v>
      </c>
      <c r="Y61" s="20">
        <v>1</v>
      </c>
    </row>
    <row r="62" spans="1:25" x14ac:dyDescent="0.3">
      <c r="A62" s="20" t="s">
        <v>352</v>
      </c>
      <c r="B62" s="21" t="s">
        <v>9</v>
      </c>
      <c r="C62" s="21" t="s">
        <v>115</v>
      </c>
      <c r="D62" s="3">
        <v>45661</v>
      </c>
      <c r="E62" s="21" t="s">
        <v>101</v>
      </c>
      <c r="F62" s="21" t="s">
        <v>116</v>
      </c>
      <c r="G62" s="21" t="s">
        <v>63</v>
      </c>
      <c r="H62" s="2">
        <v>4</v>
      </c>
      <c r="I62" s="2">
        <v>29</v>
      </c>
      <c r="J62" s="2">
        <v>0</v>
      </c>
      <c r="K62" s="21" t="s">
        <v>97</v>
      </c>
      <c r="L62" s="21" t="s">
        <v>265</v>
      </c>
      <c r="M62" s="21" t="s">
        <v>101</v>
      </c>
      <c r="N62" s="3"/>
      <c r="O62" s="21" t="s">
        <v>64</v>
      </c>
      <c r="P62" s="21" t="s">
        <v>52</v>
      </c>
      <c r="Q62" s="21" t="s">
        <v>62</v>
      </c>
      <c r="R62" s="2">
        <v>11</v>
      </c>
      <c r="S62" s="2">
        <v>116</v>
      </c>
      <c r="T62" s="2">
        <v>72</v>
      </c>
      <c r="U62" s="4">
        <v>62.068965517241381</v>
      </c>
      <c r="V62" s="21" t="s">
        <v>98</v>
      </c>
      <c r="W62">
        <v>1</v>
      </c>
      <c r="X62"/>
      <c r="Y62" s="20"/>
    </row>
    <row r="63" spans="1:25" x14ac:dyDescent="0.3">
      <c r="A63" s="20" t="s">
        <v>352</v>
      </c>
      <c r="B63" s="21" t="s">
        <v>9</v>
      </c>
      <c r="C63" s="21" t="s">
        <v>109</v>
      </c>
      <c r="D63" s="3">
        <v>45662</v>
      </c>
      <c r="E63" s="21" t="s">
        <v>18</v>
      </c>
      <c r="F63" s="21" t="s">
        <v>19</v>
      </c>
      <c r="G63" s="21" t="s">
        <v>60</v>
      </c>
      <c r="H63" s="2">
        <v>1</v>
      </c>
      <c r="I63" s="2">
        <v>899</v>
      </c>
      <c r="J63" s="2">
        <v>0</v>
      </c>
      <c r="K63" s="21" t="s">
        <v>97</v>
      </c>
      <c r="L63" s="21" t="s">
        <v>20</v>
      </c>
      <c r="M63" s="21" t="s">
        <v>13</v>
      </c>
      <c r="N63" s="3">
        <v>44931</v>
      </c>
      <c r="O63" s="21" t="s">
        <v>61</v>
      </c>
      <c r="P63" s="21" t="s">
        <v>48</v>
      </c>
      <c r="Q63" s="21" t="s">
        <v>62</v>
      </c>
      <c r="R63" s="2">
        <v>520</v>
      </c>
      <c r="S63" s="2">
        <v>899</v>
      </c>
      <c r="T63" s="2">
        <v>379</v>
      </c>
      <c r="U63" s="4">
        <v>42.157953281423808</v>
      </c>
      <c r="V63" s="21" t="s">
        <v>98</v>
      </c>
      <c r="W63">
        <v>1</v>
      </c>
      <c r="X63">
        <v>35</v>
      </c>
      <c r="Y63" s="20">
        <v>1</v>
      </c>
    </row>
    <row r="64" spans="1:25" x14ac:dyDescent="0.3">
      <c r="A64" s="20" t="s">
        <v>352</v>
      </c>
      <c r="B64" s="21" t="s">
        <v>9</v>
      </c>
      <c r="C64" s="21" t="s">
        <v>117</v>
      </c>
      <c r="D64" s="3">
        <v>45662</v>
      </c>
      <c r="E64" s="21" t="s">
        <v>25</v>
      </c>
      <c r="F64" s="21" t="s">
        <v>26</v>
      </c>
      <c r="G64" s="21" t="s">
        <v>65</v>
      </c>
      <c r="H64" s="2">
        <v>2</v>
      </c>
      <c r="I64" s="2">
        <v>749</v>
      </c>
      <c r="J64" s="2">
        <v>75</v>
      </c>
      <c r="K64" s="21" t="s">
        <v>97</v>
      </c>
      <c r="L64" s="21" t="s">
        <v>27</v>
      </c>
      <c r="M64" s="21" t="s">
        <v>13</v>
      </c>
      <c r="N64" s="3">
        <v>45168</v>
      </c>
      <c r="O64" s="21" t="s">
        <v>66</v>
      </c>
      <c r="P64" s="21" t="s">
        <v>44</v>
      </c>
      <c r="Q64" s="21" t="s">
        <v>67</v>
      </c>
      <c r="R64" s="2">
        <v>490</v>
      </c>
      <c r="S64" s="2">
        <v>1423</v>
      </c>
      <c r="T64" s="2">
        <v>443</v>
      </c>
      <c r="U64" s="4">
        <v>31.131412508784255</v>
      </c>
      <c r="V64" s="21" t="s">
        <v>98</v>
      </c>
      <c r="W64">
        <v>1</v>
      </c>
      <c r="X64">
        <v>46</v>
      </c>
      <c r="Y64" s="20">
        <v>1</v>
      </c>
    </row>
    <row r="65" spans="1:25" x14ac:dyDescent="0.3">
      <c r="A65" s="20" t="s">
        <v>352</v>
      </c>
      <c r="B65" s="21" t="s">
        <v>9</v>
      </c>
      <c r="C65" s="21" t="s">
        <v>105</v>
      </c>
      <c r="D65" s="3">
        <v>45663</v>
      </c>
      <c r="E65" s="21" t="s">
        <v>5</v>
      </c>
      <c r="F65" s="21" t="s">
        <v>6</v>
      </c>
      <c r="G65" s="21" t="s">
        <v>68</v>
      </c>
      <c r="H65" s="2">
        <v>1</v>
      </c>
      <c r="I65" s="2">
        <v>229</v>
      </c>
      <c r="J65" s="2">
        <v>0</v>
      </c>
      <c r="K65" s="21" t="s">
        <v>97</v>
      </c>
      <c r="L65" s="21" t="s">
        <v>7</v>
      </c>
      <c r="M65" s="21" t="s">
        <v>8</v>
      </c>
      <c r="N65" s="3">
        <v>44635</v>
      </c>
      <c r="O65" s="21" t="s">
        <v>69</v>
      </c>
      <c r="P65" s="21" t="s">
        <v>44</v>
      </c>
      <c r="Q65" s="21" t="s">
        <v>70</v>
      </c>
      <c r="R65" s="2">
        <v>110</v>
      </c>
      <c r="S65" s="2">
        <v>229</v>
      </c>
      <c r="T65" s="2">
        <v>119</v>
      </c>
      <c r="U65" s="4">
        <v>51.965065502183407</v>
      </c>
      <c r="V65" s="21" t="s">
        <v>98</v>
      </c>
      <c r="W65">
        <v>1</v>
      </c>
      <c r="X65">
        <v>52</v>
      </c>
      <c r="Y65" s="20">
        <v>1</v>
      </c>
    </row>
    <row r="66" spans="1:25" x14ac:dyDescent="0.3">
      <c r="A66" s="20" t="s">
        <v>352</v>
      </c>
      <c r="B66" s="21" t="s">
        <v>9</v>
      </c>
      <c r="C66" s="21" t="s">
        <v>110</v>
      </c>
      <c r="D66" s="3">
        <v>45663</v>
      </c>
      <c r="E66" s="21" t="s">
        <v>10</v>
      </c>
      <c r="F66" s="21" t="s">
        <v>11</v>
      </c>
      <c r="G66" s="21" t="s">
        <v>73</v>
      </c>
      <c r="H66" s="2">
        <v>6</v>
      </c>
      <c r="I66" s="2">
        <v>19</v>
      </c>
      <c r="J66" s="2">
        <v>10</v>
      </c>
      <c r="K66" s="21" t="s">
        <v>97</v>
      </c>
      <c r="L66" s="21" t="s">
        <v>12</v>
      </c>
      <c r="M66" s="21" t="s">
        <v>13</v>
      </c>
      <c r="N66" s="3">
        <v>44744</v>
      </c>
      <c r="O66" s="21" t="s">
        <v>74</v>
      </c>
      <c r="P66" s="21" t="s">
        <v>52</v>
      </c>
      <c r="Q66" s="21" t="s">
        <v>62</v>
      </c>
      <c r="R66" s="2">
        <v>8</v>
      </c>
      <c r="S66" s="2">
        <v>104</v>
      </c>
      <c r="T66" s="2">
        <v>56</v>
      </c>
      <c r="U66" s="4">
        <v>53.846153846153847</v>
      </c>
      <c r="V66" s="21" t="s">
        <v>98</v>
      </c>
      <c r="W66">
        <v>1</v>
      </c>
      <c r="X66">
        <v>32</v>
      </c>
      <c r="Y66" s="20">
        <v>1</v>
      </c>
    </row>
    <row r="67" spans="1:25" x14ac:dyDescent="0.3">
      <c r="A67" s="20" t="s">
        <v>352</v>
      </c>
      <c r="B67" s="21" t="s">
        <v>9</v>
      </c>
      <c r="C67" s="21" t="s">
        <v>104</v>
      </c>
      <c r="D67" s="3">
        <v>45664</v>
      </c>
      <c r="E67" s="21" t="s">
        <v>21</v>
      </c>
      <c r="F67" s="21" t="s">
        <v>22</v>
      </c>
      <c r="G67" s="21" t="s">
        <v>54</v>
      </c>
      <c r="H67" s="2">
        <v>1</v>
      </c>
      <c r="I67" s="2">
        <v>1299</v>
      </c>
      <c r="J67" s="2">
        <v>130</v>
      </c>
      <c r="K67" s="21" t="s">
        <v>97</v>
      </c>
      <c r="L67" s="21" t="s">
        <v>7</v>
      </c>
      <c r="M67" s="21" t="s">
        <v>8</v>
      </c>
      <c r="N67" s="3">
        <v>44948</v>
      </c>
      <c r="O67" s="21" t="s">
        <v>55</v>
      </c>
      <c r="P67" s="21" t="s">
        <v>44</v>
      </c>
      <c r="Q67" s="21" t="s">
        <v>56</v>
      </c>
      <c r="R67" s="2">
        <v>820</v>
      </c>
      <c r="S67" s="2">
        <v>1169</v>
      </c>
      <c r="T67" s="2">
        <v>349</v>
      </c>
      <c r="U67" s="4">
        <v>29.854576561163388</v>
      </c>
      <c r="V67" s="21" t="s">
        <v>98</v>
      </c>
      <c r="W67">
        <v>1</v>
      </c>
      <c r="X67">
        <v>32</v>
      </c>
      <c r="Y67" s="20">
        <v>1</v>
      </c>
    </row>
    <row r="68" spans="1:25" x14ac:dyDescent="0.3">
      <c r="A68" s="20" t="s">
        <v>352</v>
      </c>
      <c r="B68" s="21" t="s">
        <v>9</v>
      </c>
      <c r="C68" s="21" t="s">
        <v>100</v>
      </c>
      <c r="D68" s="3">
        <v>45665</v>
      </c>
      <c r="E68" s="21" t="s">
        <v>101</v>
      </c>
      <c r="F68" s="21" t="s">
        <v>102</v>
      </c>
      <c r="G68" s="21" t="s">
        <v>42</v>
      </c>
      <c r="H68" s="2">
        <v>2</v>
      </c>
      <c r="I68" s="2">
        <v>349</v>
      </c>
      <c r="J68" s="2">
        <v>0</v>
      </c>
      <c r="K68" s="21" t="s">
        <v>97</v>
      </c>
      <c r="L68" s="21" t="s">
        <v>265</v>
      </c>
      <c r="M68" s="21" t="s">
        <v>101</v>
      </c>
      <c r="N68" s="3"/>
      <c r="O68" s="21" t="s">
        <v>43</v>
      </c>
      <c r="P68" s="21" t="s">
        <v>44</v>
      </c>
      <c r="Q68" s="21" t="s">
        <v>45</v>
      </c>
      <c r="R68" s="2">
        <v>165</v>
      </c>
      <c r="S68" s="2">
        <v>698</v>
      </c>
      <c r="T68" s="2">
        <v>368</v>
      </c>
      <c r="U68" s="4">
        <v>52.722063037249278</v>
      </c>
      <c r="V68" s="21" t="s">
        <v>98</v>
      </c>
      <c r="W68">
        <v>1</v>
      </c>
      <c r="X68"/>
      <c r="Y68" s="20"/>
    </row>
    <row r="69" spans="1:25" x14ac:dyDescent="0.3">
      <c r="A69" s="20" t="s">
        <v>352</v>
      </c>
      <c r="B69" s="21" t="s">
        <v>9</v>
      </c>
      <c r="C69" s="21" t="s">
        <v>118</v>
      </c>
      <c r="D69" s="3">
        <v>45665</v>
      </c>
      <c r="E69" s="21" t="s">
        <v>15</v>
      </c>
      <c r="F69" s="21" t="s">
        <v>16</v>
      </c>
      <c r="G69" s="21" t="s">
        <v>77</v>
      </c>
      <c r="H69" s="2">
        <v>1</v>
      </c>
      <c r="I69" s="2">
        <v>1099</v>
      </c>
      <c r="J69" s="2">
        <v>0</v>
      </c>
      <c r="K69" s="21" t="s">
        <v>97</v>
      </c>
      <c r="L69" s="21" t="s">
        <v>7</v>
      </c>
      <c r="M69" s="21" t="s">
        <v>13</v>
      </c>
      <c r="N69" s="3">
        <v>44883</v>
      </c>
      <c r="O69" s="21" t="s">
        <v>78</v>
      </c>
      <c r="P69" s="21" t="s">
        <v>48</v>
      </c>
      <c r="Q69" s="21" t="s">
        <v>62</v>
      </c>
      <c r="R69" s="2">
        <v>650</v>
      </c>
      <c r="S69" s="2">
        <v>1099</v>
      </c>
      <c r="T69" s="2">
        <v>449</v>
      </c>
      <c r="U69" s="4">
        <v>40.855323020928111</v>
      </c>
      <c r="V69" s="21" t="s">
        <v>98</v>
      </c>
      <c r="W69">
        <v>1</v>
      </c>
      <c r="X69">
        <v>32</v>
      </c>
      <c r="Y69" s="20">
        <v>1</v>
      </c>
    </row>
    <row r="70" spans="1:25" x14ac:dyDescent="0.3">
      <c r="A70" s="20" t="s">
        <v>352</v>
      </c>
      <c r="B70" s="21" t="s">
        <v>9</v>
      </c>
      <c r="C70" s="21" t="s">
        <v>119</v>
      </c>
      <c r="D70" s="3">
        <v>45666</v>
      </c>
      <c r="E70" s="21" t="s">
        <v>23</v>
      </c>
      <c r="F70" s="21" t="s">
        <v>24</v>
      </c>
      <c r="G70" s="21" t="s">
        <v>81</v>
      </c>
      <c r="H70" s="2">
        <v>2</v>
      </c>
      <c r="I70" s="2">
        <v>89</v>
      </c>
      <c r="J70" s="2">
        <v>0</v>
      </c>
      <c r="K70" s="21" t="s">
        <v>97</v>
      </c>
      <c r="L70" s="21" t="s">
        <v>7</v>
      </c>
      <c r="M70" s="21" t="s">
        <v>13</v>
      </c>
      <c r="N70" s="3">
        <v>45030</v>
      </c>
      <c r="O70" s="21" t="s">
        <v>82</v>
      </c>
      <c r="P70" s="21" t="s">
        <v>52</v>
      </c>
      <c r="Q70" s="21" t="s">
        <v>83</v>
      </c>
      <c r="R70" s="2">
        <v>42</v>
      </c>
      <c r="S70" s="2">
        <v>178</v>
      </c>
      <c r="T70" s="2">
        <v>94</v>
      </c>
      <c r="U70" s="4">
        <v>52.80898876404494</v>
      </c>
      <c r="V70" s="21" t="s">
        <v>98</v>
      </c>
      <c r="W70">
        <v>1</v>
      </c>
      <c r="X70">
        <v>18</v>
      </c>
      <c r="Y70" s="20">
        <v>1</v>
      </c>
    </row>
    <row r="71" spans="1:25" x14ac:dyDescent="0.3">
      <c r="A71" s="20" t="s">
        <v>352</v>
      </c>
      <c r="B71" s="21" t="s">
        <v>9</v>
      </c>
      <c r="C71" s="21" t="s">
        <v>112</v>
      </c>
      <c r="D71" s="3">
        <v>45666</v>
      </c>
      <c r="E71" s="21" t="s">
        <v>113</v>
      </c>
      <c r="F71" s="21" t="s">
        <v>114</v>
      </c>
      <c r="G71" s="21" t="s">
        <v>57</v>
      </c>
      <c r="H71" s="2">
        <v>1</v>
      </c>
      <c r="I71" s="2">
        <v>529</v>
      </c>
      <c r="J71" s="2">
        <v>0</v>
      </c>
      <c r="K71" s="21" t="s">
        <v>97</v>
      </c>
      <c r="L71" s="21" t="s">
        <v>265</v>
      </c>
      <c r="M71" s="21" t="s">
        <v>101</v>
      </c>
      <c r="N71" s="3"/>
      <c r="O71" s="21" t="s">
        <v>58</v>
      </c>
      <c r="P71" s="21" t="s">
        <v>44</v>
      </c>
      <c r="Q71" s="21" t="s">
        <v>59</v>
      </c>
      <c r="R71" s="2">
        <v>260</v>
      </c>
      <c r="S71" s="2">
        <v>529</v>
      </c>
      <c r="T71" s="2">
        <v>269</v>
      </c>
      <c r="U71" s="4">
        <v>50.850661625708881</v>
      </c>
      <c r="V71" s="21" t="s">
        <v>98</v>
      </c>
      <c r="W71">
        <v>1</v>
      </c>
      <c r="X71">
        <v>1</v>
      </c>
      <c r="Y71" s="20">
        <v>0</v>
      </c>
    </row>
    <row r="72" spans="1:25" x14ac:dyDescent="0.3">
      <c r="A72" s="20" t="s">
        <v>352</v>
      </c>
      <c r="B72" s="21" t="s">
        <v>9</v>
      </c>
      <c r="C72" s="21" t="s">
        <v>120</v>
      </c>
      <c r="D72" s="3">
        <v>45667</v>
      </c>
      <c r="E72" s="21" t="s">
        <v>18</v>
      </c>
      <c r="F72" s="21" t="s">
        <v>19</v>
      </c>
      <c r="G72" s="21" t="s">
        <v>84</v>
      </c>
      <c r="H72" s="2">
        <v>1</v>
      </c>
      <c r="I72" s="2">
        <v>2199</v>
      </c>
      <c r="J72" s="2">
        <v>200</v>
      </c>
      <c r="K72" s="21" t="s">
        <v>97</v>
      </c>
      <c r="L72" s="21" t="s">
        <v>20</v>
      </c>
      <c r="M72" s="21" t="s">
        <v>13</v>
      </c>
      <c r="N72" s="3">
        <v>44931</v>
      </c>
      <c r="O72" s="21" t="s">
        <v>85</v>
      </c>
      <c r="P72" s="21" t="s">
        <v>44</v>
      </c>
      <c r="Q72" s="21" t="s">
        <v>56</v>
      </c>
      <c r="R72" s="2">
        <v>1380</v>
      </c>
      <c r="S72" s="2">
        <v>1999</v>
      </c>
      <c r="T72" s="2">
        <v>619</v>
      </c>
      <c r="U72" s="4">
        <v>30.965482741370685</v>
      </c>
      <c r="V72" s="21" t="s">
        <v>98</v>
      </c>
      <c r="W72">
        <v>1</v>
      </c>
      <c r="X72">
        <v>35</v>
      </c>
      <c r="Y72" s="20">
        <v>1</v>
      </c>
    </row>
    <row r="73" spans="1:25" x14ac:dyDescent="0.3">
      <c r="A73" s="20" t="s">
        <v>352</v>
      </c>
      <c r="B73" s="21" t="s">
        <v>9</v>
      </c>
      <c r="C73" s="21" t="s">
        <v>121</v>
      </c>
      <c r="D73" s="3">
        <v>45667</v>
      </c>
      <c r="E73" s="21" t="s">
        <v>25</v>
      </c>
      <c r="F73" s="21" t="s">
        <v>26</v>
      </c>
      <c r="G73" s="21" t="s">
        <v>46</v>
      </c>
      <c r="H73" s="2">
        <v>3</v>
      </c>
      <c r="I73" s="2">
        <v>199</v>
      </c>
      <c r="J73" s="2">
        <v>30</v>
      </c>
      <c r="K73" s="21" t="s">
        <v>97</v>
      </c>
      <c r="L73" s="21" t="s">
        <v>27</v>
      </c>
      <c r="M73" s="21" t="s">
        <v>13</v>
      </c>
      <c r="N73" s="3">
        <v>45168</v>
      </c>
      <c r="O73" s="21" t="s">
        <v>47</v>
      </c>
      <c r="P73" s="21" t="s">
        <v>48</v>
      </c>
      <c r="Q73" s="21" t="s">
        <v>49</v>
      </c>
      <c r="R73" s="2">
        <v>95</v>
      </c>
      <c r="S73" s="2">
        <v>567</v>
      </c>
      <c r="T73" s="2">
        <v>282</v>
      </c>
      <c r="U73" s="4">
        <v>49.735449735449734</v>
      </c>
      <c r="V73" s="21" t="s">
        <v>98</v>
      </c>
      <c r="W73">
        <v>1</v>
      </c>
      <c r="X73">
        <v>46</v>
      </c>
      <c r="Y73" s="20">
        <v>1</v>
      </c>
    </row>
    <row r="74" spans="1:25" x14ac:dyDescent="0.3">
      <c r="A74" s="20" t="s">
        <v>352</v>
      </c>
      <c r="B74" s="21" t="s">
        <v>9</v>
      </c>
      <c r="C74" s="21" t="s">
        <v>122</v>
      </c>
      <c r="D74" s="3">
        <v>45668</v>
      </c>
      <c r="E74" s="21" t="s">
        <v>10</v>
      </c>
      <c r="F74" s="21" t="s">
        <v>11</v>
      </c>
      <c r="G74" s="21" t="s">
        <v>79</v>
      </c>
      <c r="H74" s="2">
        <v>1</v>
      </c>
      <c r="I74" s="2">
        <v>189</v>
      </c>
      <c r="J74" s="2">
        <v>0</v>
      </c>
      <c r="K74" s="21" t="s">
        <v>97</v>
      </c>
      <c r="L74" s="21" t="s">
        <v>12</v>
      </c>
      <c r="M74" s="21" t="s">
        <v>13</v>
      </c>
      <c r="N74" s="3">
        <v>44744</v>
      </c>
      <c r="O74" s="21" t="s">
        <v>80</v>
      </c>
      <c r="P74" s="21" t="s">
        <v>44</v>
      </c>
      <c r="Q74" s="21" t="s">
        <v>70</v>
      </c>
      <c r="R74" s="2">
        <v>95</v>
      </c>
      <c r="S74" s="2">
        <v>189</v>
      </c>
      <c r="T74" s="2">
        <v>94</v>
      </c>
      <c r="U74" s="4">
        <v>49.735449735449734</v>
      </c>
      <c r="V74" s="21" t="s">
        <v>98</v>
      </c>
      <c r="W74">
        <v>1</v>
      </c>
      <c r="X74">
        <v>32</v>
      </c>
      <c r="Y74" s="20">
        <v>1</v>
      </c>
    </row>
    <row r="75" spans="1:25" x14ac:dyDescent="0.3">
      <c r="A75" s="20" t="s">
        <v>352</v>
      </c>
      <c r="B75" s="21" t="s">
        <v>9</v>
      </c>
      <c r="C75" s="21" t="s">
        <v>123</v>
      </c>
      <c r="D75" s="3">
        <v>45668</v>
      </c>
      <c r="E75" s="21" t="s">
        <v>101</v>
      </c>
      <c r="F75" s="21" t="s">
        <v>124</v>
      </c>
      <c r="G75" s="21" t="s">
        <v>50</v>
      </c>
      <c r="H75" s="2">
        <v>2</v>
      </c>
      <c r="I75" s="2">
        <v>45</v>
      </c>
      <c r="J75" s="2">
        <v>0</v>
      </c>
      <c r="K75" s="21" t="s">
        <v>97</v>
      </c>
      <c r="L75" s="21" t="s">
        <v>265</v>
      </c>
      <c r="M75" s="21" t="s">
        <v>101</v>
      </c>
      <c r="N75" s="3"/>
      <c r="O75" s="21" t="s">
        <v>51</v>
      </c>
      <c r="P75" s="21" t="s">
        <v>52</v>
      </c>
      <c r="Q75" s="21" t="s">
        <v>53</v>
      </c>
      <c r="R75" s="2">
        <v>18</v>
      </c>
      <c r="S75" s="2">
        <v>90</v>
      </c>
      <c r="T75" s="2">
        <v>54</v>
      </c>
      <c r="U75" s="4">
        <v>60</v>
      </c>
      <c r="V75" s="21" t="s">
        <v>98</v>
      </c>
      <c r="W75">
        <v>1</v>
      </c>
      <c r="X75"/>
      <c r="Y75" s="20"/>
    </row>
    <row r="76" spans="1:25" x14ac:dyDescent="0.3">
      <c r="A76" s="20" t="s">
        <v>352</v>
      </c>
      <c r="B76" s="21" t="s">
        <v>9</v>
      </c>
      <c r="C76" s="21" t="s">
        <v>125</v>
      </c>
      <c r="D76" s="3">
        <v>45669</v>
      </c>
      <c r="E76" s="21" t="s">
        <v>33</v>
      </c>
      <c r="F76" s="21" t="s">
        <v>34</v>
      </c>
      <c r="G76" s="21" t="s">
        <v>75</v>
      </c>
      <c r="H76" s="2">
        <v>1</v>
      </c>
      <c r="I76" s="2">
        <v>599</v>
      </c>
      <c r="J76" s="2">
        <v>60</v>
      </c>
      <c r="K76" s="21" t="s">
        <v>97</v>
      </c>
      <c r="L76" s="21" t="s">
        <v>7</v>
      </c>
      <c r="M76" s="21" t="s">
        <v>30</v>
      </c>
      <c r="N76" s="3">
        <v>45279</v>
      </c>
      <c r="O76" s="21" t="s">
        <v>76</v>
      </c>
      <c r="P76" s="21" t="s">
        <v>44</v>
      </c>
      <c r="Q76" s="21" t="s">
        <v>59</v>
      </c>
      <c r="R76" s="2">
        <v>350</v>
      </c>
      <c r="S76" s="2">
        <v>539</v>
      </c>
      <c r="T76" s="2">
        <v>189</v>
      </c>
      <c r="U76" s="4">
        <v>35.064935064935064</v>
      </c>
      <c r="V76" s="21" t="s">
        <v>98</v>
      </c>
      <c r="W76">
        <v>1</v>
      </c>
      <c r="X76">
        <v>8</v>
      </c>
      <c r="Y76" s="20">
        <v>1</v>
      </c>
    </row>
    <row r="77" spans="1:25" x14ac:dyDescent="0.3">
      <c r="A77" s="20" t="s">
        <v>352</v>
      </c>
      <c r="B77" s="21" t="s">
        <v>9</v>
      </c>
      <c r="C77" s="21" t="s">
        <v>126</v>
      </c>
      <c r="D77" s="3">
        <v>45669</v>
      </c>
      <c r="E77" s="21" t="s">
        <v>5</v>
      </c>
      <c r="F77" s="21" t="s">
        <v>6</v>
      </c>
      <c r="G77" s="21" t="s">
        <v>60</v>
      </c>
      <c r="H77" s="2">
        <v>1</v>
      </c>
      <c r="I77" s="2">
        <v>899</v>
      </c>
      <c r="J77" s="2">
        <v>89.9</v>
      </c>
      <c r="K77" s="21" t="s">
        <v>97</v>
      </c>
      <c r="L77" s="21" t="s">
        <v>7</v>
      </c>
      <c r="M77" s="21" t="s">
        <v>8</v>
      </c>
      <c r="N77" s="3">
        <v>44635</v>
      </c>
      <c r="O77" s="21" t="s">
        <v>61</v>
      </c>
      <c r="P77" s="21" t="s">
        <v>48</v>
      </c>
      <c r="Q77" s="21" t="s">
        <v>62</v>
      </c>
      <c r="R77" s="2">
        <v>520</v>
      </c>
      <c r="S77" s="2">
        <v>809.1</v>
      </c>
      <c r="T77" s="2">
        <v>289.10000000000002</v>
      </c>
      <c r="U77" s="4">
        <v>35.731059201582006</v>
      </c>
      <c r="V77" s="21" t="s">
        <v>98</v>
      </c>
      <c r="W77">
        <v>1</v>
      </c>
      <c r="X77">
        <v>52</v>
      </c>
      <c r="Y77" s="20">
        <v>1</v>
      </c>
    </row>
    <row r="78" spans="1:25" x14ac:dyDescent="0.3">
      <c r="A78" s="20" t="s">
        <v>352</v>
      </c>
      <c r="B78" s="21" t="s">
        <v>9</v>
      </c>
      <c r="C78" s="21" t="s">
        <v>127</v>
      </c>
      <c r="D78" s="3">
        <v>45670</v>
      </c>
      <c r="E78" s="21" t="s">
        <v>15</v>
      </c>
      <c r="F78" s="21" t="s">
        <v>16</v>
      </c>
      <c r="G78" s="21" t="s">
        <v>42</v>
      </c>
      <c r="H78" s="2">
        <v>2</v>
      </c>
      <c r="I78" s="2">
        <v>349</v>
      </c>
      <c r="J78" s="2">
        <v>0</v>
      </c>
      <c r="K78" s="21" t="s">
        <v>97</v>
      </c>
      <c r="L78" s="21" t="s">
        <v>7</v>
      </c>
      <c r="M78" s="21" t="s">
        <v>13</v>
      </c>
      <c r="N78" s="3">
        <v>44883</v>
      </c>
      <c r="O78" s="21" t="s">
        <v>43</v>
      </c>
      <c r="P78" s="21" t="s">
        <v>44</v>
      </c>
      <c r="Q78" s="21" t="s">
        <v>45</v>
      </c>
      <c r="R78" s="2">
        <v>165</v>
      </c>
      <c r="S78" s="2">
        <v>698</v>
      </c>
      <c r="T78" s="2">
        <v>368</v>
      </c>
      <c r="U78" s="4">
        <v>52.722063037249278</v>
      </c>
      <c r="V78" s="21" t="s">
        <v>98</v>
      </c>
      <c r="W78">
        <v>1</v>
      </c>
      <c r="X78">
        <v>32</v>
      </c>
      <c r="Y78" s="20">
        <v>1</v>
      </c>
    </row>
    <row r="79" spans="1:25" x14ac:dyDescent="0.3">
      <c r="A79" s="20" t="s">
        <v>352</v>
      </c>
      <c r="B79" s="21" t="s">
        <v>9</v>
      </c>
      <c r="C79" s="21" t="s">
        <v>128</v>
      </c>
      <c r="D79" s="3">
        <v>45671</v>
      </c>
      <c r="E79" s="21" t="s">
        <v>21</v>
      </c>
      <c r="F79" s="21" t="s">
        <v>22</v>
      </c>
      <c r="G79" s="21" t="s">
        <v>63</v>
      </c>
      <c r="H79" s="2">
        <v>5</v>
      </c>
      <c r="I79" s="2">
        <v>29</v>
      </c>
      <c r="J79" s="2">
        <v>0</v>
      </c>
      <c r="K79" s="21" t="s">
        <v>97</v>
      </c>
      <c r="L79" s="21" t="s">
        <v>7</v>
      </c>
      <c r="M79" s="21" t="s">
        <v>8</v>
      </c>
      <c r="N79" s="3">
        <v>44948</v>
      </c>
      <c r="O79" s="21" t="s">
        <v>64</v>
      </c>
      <c r="P79" s="21" t="s">
        <v>52</v>
      </c>
      <c r="Q79" s="21" t="s">
        <v>62</v>
      </c>
      <c r="R79" s="2">
        <v>11</v>
      </c>
      <c r="S79" s="2">
        <v>145</v>
      </c>
      <c r="T79" s="2">
        <v>90</v>
      </c>
      <c r="U79" s="4">
        <v>62.068965517241381</v>
      </c>
      <c r="V79" s="21" t="s">
        <v>98</v>
      </c>
      <c r="W79">
        <v>1</v>
      </c>
      <c r="X79">
        <v>32</v>
      </c>
      <c r="Y79" s="20">
        <v>1</v>
      </c>
    </row>
    <row r="80" spans="1:25" x14ac:dyDescent="0.3">
      <c r="A80" s="20" t="s">
        <v>352</v>
      </c>
      <c r="B80" s="21" t="s">
        <v>9</v>
      </c>
      <c r="C80" s="21" t="s">
        <v>129</v>
      </c>
      <c r="D80" s="3">
        <v>45671</v>
      </c>
      <c r="E80" s="21" t="s">
        <v>101</v>
      </c>
      <c r="F80" s="21" t="s">
        <v>130</v>
      </c>
      <c r="G80" s="21" t="s">
        <v>71</v>
      </c>
      <c r="H80" s="2">
        <v>1</v>
      </c>
      <c r="I80" s="2">
        <v>459</v>
      </c>
      <c r="J80" s="2">
        <v>45.9</v>
      </c>
      <c r="K80" s="21" t="s">
        <v>97</v>
      </c>
      <c r="L80" s="21" t="s">
        <v>265</v>
      </c>
      <c r="M80" s="21" t="s">
        <v>101</v>
      </c>
      <c r="N80" s="3"/>
      <c r="O80" s="21" t="s">
        <v>72</v>
      </c>
      <c r="P80" s="21" t="s">
        <v>48</v>
      </c>
      <c r="Q80" s="21" t="s">
        <v>49</v>
      </c>
      <c r="R80" s="2">
        <v>210</v>
      </c>
      <c r="S80" s="2">
        <v>413.1</v>
      </c>
      <c r="T80" s="2">
        <v>203.10000000000002</v>
      </c>
      <c r="U80" s="4">
        <v>49.164851125635444</v>
      </c>
      <c r="V80" s="21" t="s">
        <v>98</v>
      </c>
      <c r="W80">
        <v>1</v>
      </c>
      <c r="X80"/>
      <c r="Y80" s="20"/>
    </row>
    <row r="81" spans="1:25" x14ac:dyDescent="0.3">
      <c r="A81" s="20" t="s">
        <v>352</v>
      </c>
      <c r="B81" s="21" t="s">
        <v>9</v>
      </c>
      <c r="C81" s="21" t="s">
        <v>131</v>
      </c>
      <c r="D81" s="3">
        <v>45672</v>
      </c>
      <c r="E81" s="21" t="s">
        <v>25</v>
      </c>
      <c r="F81" s="21" t="s">
        <v>26</v>
      </c>
      <c r="G81" s="21" t="s">
        <v>68</v>
      </c>
      <c r="H81" s="2">
        <v>2</v>
      </c>
      <c r="I81" s="2">
        <v>229</v>
      </c>
      <c r="J81" s="2">
        <v>22.9</v>
      </c>
      <c r="K81" s="21" t="s">
        <v>97</v>
      </c>
      <c r="L81" s="21" t="s">
        <v>27</v>
      </c>
      <c r="M81" s="21" t="s">
        <v>13</v>
      </c>
      <c r="N81" s="3">
        <v>45168</v>
      </c>
      <c r="O81" s="21" t="s">
        <v>69</v>
      </c>
      <c r="P81" s="21" t="s">
        <v>44</v>
      </c>
      <c r="Q81" s="21" t="s">
        <v>70</v>
      </c>
      <c r="R81" s="2">
        <v>110</v>
      </c>
      <c r="S81" s="2">
        <v>435.1</v>
      </c>
      <c r="T81" s="2">
        <v>215.10000000000002</v>
      </c>
      <c r="U81" s="4">
        <v>49.436911054929908</v>
      </c>
      <c r="V81" s="21" t="s">
        <v>98</v>
      </c>
      <c r="W81">
        <v>1</v>
      </c>
      <c r="X81">
        <v>46</v>
      </c>
      <c r="Y81" s="20">
        <v>1</v>
      </c>
    </row>
    <row r="82" spans="1:25" x14ac:dyDescent="0.3">
      <c r="A82" s="20" t="s">
        <v>352</v>
      </c>
      <c r="B82" s="21" t="s">
        <v>9</v>
      </c>
      <c r="C82" s="21" t="s">
        <v>132</v>
      </c>
      <c r="D82" s="3">
        <v>45673</v>
      </c>
      <c r="E82" s="21" t="s">
        <v>18</v>
      </c>
      <c r="F82" s="21" t="s">
        <v>19</v>
      </c>
      <c r="G82" s="21" t="s">
        <v>73</v>
      </c>
      <c r="H82" s="2">
        <v>4</v>
      </c>
      <c r="I82" s="2">
        <v>19</v>
      </c>
      <c r="J82" s="2">
        <v>0</v>
      </c>
      <c r="K82" s="21" t="s">
        <v>97</v>
      </c>
      <c r="L82" s="21" t="s">
        <v>20</v>
      </c>
      <c r="M82" s="21" t="s">
        <v>13</v>
      </c>
      <c r="N82" s="3">
        <v>44931</v>
      </c>
      <c r="O82" s="21" t="s">
        <v>74</v>
      </c>
      <c r="P82" s="21" t="s">
        <v>52</v>
      </c>
      <c r="Q82" s="21" t="s">
        <v>62</v>
      </c>
      <c r="R82" s="2">
        <v>8</v>
      </c>
      <c r="S82" s="2">
        <v>76</v>
      </c>
      <c r="T82" s="2">
        <v>44</v>
      </c>
      <c r="U82" s="4">
        <v>57.894736842105267</v>
      </c>
      <c r="V82" s="21" t="s">
        <v>98</v>
      </c>
      <c r="W82">
        <v>1</v>
      </c>
      <c r="X82">
        <v>35</v>
      </c>
      <c r="Y82" s="20">
        <v>1</v>
      </c>
    </row>
    <row r="83" spans="1:25" x14ac:dyDescent="0.3">
      <c r="A83" s="20" t="s">
        <v>352</v>
      </c>
      <c r="B83" s="21" t="s">
        <v>9</v>
      </c>
      <c r="C83" s="21" t="s">
        <v>133</v>
      </c>
      <c r="D83" s="3">
        <v>45673</v>
      </c>
      <c r="E83" s="21" t="s">
        <v>10</v>
      </c>
      <c r="F83" s="21" t="s">
        <v>11</v>
      </c>
      <c r="G83" s="21" t="s">
        <v>77</v>
      </c>
      <c r="H83" s="2">
        <v>1</v>
      </c>
      <c r="I83" s="2">
        <v>1099</v>
      </c>
      <c r="J83" s="2">
        <v>100</v>
      </c>
      <c r="K83" s="21" t="s">
        <v>97</v>
      </c>
      <c r="L83" s="21" t="s">
        <v>12</v>
      </c>
      <c r="M83" s="21" t="s">
        <v>13</v>
      </c>
      <c r="N83" s="3">
        <v>44744</v>
      </c>
      <c r="O83" s="21" t="s">
        <v>78</v>
      </c>
      <c r="P83" s="21" t="s">
        <v>48</v>
      </c>
      <c r="Q83" s="21" t="s">
        <v>62</v>
      </c>
      <c r="R83" s="2">
        <v>650</v>
      </c>
      <c r="S83" s="2">
        <v>999</v>
      </c>
      <c r="T83" s="2">
        <v>349</v>
      </c>
      <c r="U83" s="4">
        <v>34.934934934934937</v>
      </c>
      <c r="V83" s="21" t="s">
        <v>98</v>
      </c>
      <c r="W83">
        <v>1</v>
      </c>
      <c r="X83">
        <v>32</v>
      </c>
      <c r="Y83" s="20">
        <v>1</v>
      </c>
    </row>
    <row r="84" spans="1:25" x14ac:dyDescent="0.3">
      <c r="A84" s="20" t="s">
        <v>352</v>
      </c>
      <c r="B84" s="21" t="s">
        <v>9</v>
      </c>
      <c r="C84" s="21" t="s">
        <v>134</v>
      </c>
      <c r="D84" s="3">
        <v>45674</v>
      </c>
      <c r="E84" s="21" t="s">
        <v>101</v>
      </c>
      <c r="F84" s="21" t="s">
        <v>135</v>
      </c>
      <c r="G84" s="21" t="s">
        <v>65</v>
      </c>
      <c r="H84" s="2">
        <v>1</v>
      </c>
      <c r="I84" s="2">
        <v>749</v>
      </c>
      <c r="J84" s="2">
        <v>0</v>
      </c>
      <c r="K84" s="21" t="s">
        <v>97</v>
      </c>
      <c r="L84" s="21" t="s">
        <v>265</v>
      </c>
      <c r="M84" s="21" t="s">
        <v>101</v>
      </c>
      <c r="N84" s="3"/>
      <c r="O84" s="21" t="s">
        <v>66</v>
      </c>
      <c r="P84" s="21" t="s">
        <v>44</v>
      </c>
      <c r="Q84" s="21" t="s">
        <v>67</v>
      </c>
      <c r="R84" s="2">
        <v>490</v>
      </c>
      <c r="S84" s="2">
        <v>749</v>
      </c>
      <c r="T84" s="2">
        <v>259</v>
      </c>
      <c r="U84" s="4">
        <v>34.579439252336449</v>
      </c>
      <c r="V84" s="21" t="s">
        <v>98</v>
      </c>
      <c r="W84">
        <v>1</v>
      </c>
      <c r="X84"/>
      <c r="Y84" s="20"/>
    </row>
    <row r="85" spans="1:25" x14ac:dyDescent="0.3">
      <c r="A85" s="20" t="s">
        <v>352</v>
      </c>
      <c r="B85" s="21" t="s">
        <v>9</v>
      </c>
      <c r="C85" s="21" t="s">
        <v>136</v>
      </c>
      <c r="D85" s="3">
        <v>45675</v>
      </c>
      <c r="E85" s="21" t="s">
        <v>33</v>
      </c>
      <c r="F85" s="21" t="s">
        <v>34</v>
      </c>
      <c r="G85" s="21" t="s">
        <v>57</v>
      </c>
      <c r="H85" s="2">
        <v>1</v>
      </c>
      <c r="I85" s="2">
        <v>529</v>
      </c>
      <c r="J85" s="2">
        <v>0</v>
      </c>
      <c r="K85" s="21" t="s">
        <v>97</v>
      </c>
      <c r="L85" s="21" t="s">
        <v>7</v>
      </c>
      <c r="M85" s="21" t="s">
        <v>30</v>
      </c>
      <c r="N85" s="3">
        <v>45279</v>
      </c>
      <c r="O85" s="21" t="s">
        <v>58</v>
      </c>
      <c r="P85" s="21" t="s">
        <v>44</v>
      </c>
      <c r="Q85" s="21" t="s">
        <v>59</v>
      </c>
      <c r="R85" s="2">
        <v>260</v>
      </c>
      <c r="S85" s="2">
        <v>529</v>
      </c>
      <c r="T85" s="2">
        <v>269</v>
      </c>
      <c r="U85" s="4">
        <v>50.850661625708881</v>
      </c>
      <c r="V85" s="21" t="s">
        <v>98</v>
      </c>
      <c r="W85">
        <v>1</v>
      </c>
      <c r="X85">
        <v>8</v>
      </c>
      <c r="Y85" s="20">
        <v>1</v>
      </c>
    </row>
    <row r="86" spans="1:25" x14ac:dyDescent="0.3">
      <c r="A86" s="20" t="s">
        <v>352</v>
      </c>
      <c r="B86" s="21" t="s">
        <v>9</v>
      </c>
      <c r="C86" s="21" t="s">
        <v>137</v>
      </c>
      <c r="D86" s="3">
        <v>45675</v>
      </c>
      <c r="E86" s="21" t="s">
        <v>5</v>
      </c>
      <c r="F86" s="21" t="s">
        <v>6</v>
      </c>
      <c r="G86" s="21" t="s">
        <v>81</v>
      </c>
      <c r="H86" s="2">
        <v>3</v>
      </c>
      <c r="I86" s="2">
        <v>89</v>
      </c>
      <c r="J86" s="2">
        <v>0</v>
      </c>
      <c r="K86" s="21" t="s">
        <v>97</v>
      </c>
      <c r="L86" s="21" t="s">
        <v>7</v>
      </c>
      <c r="M86" s="21" t="s">
        <v>8</v>
      </c>
      <c r="N86" s="3">
        <v>44635</v>
      </c>
      <c r="O86" s="21" t="s">
        <v>82</v>
      </c>
      <c r="P86" s="21" t="s">
        <v>52</v>
      </c>
      <c r="Q86" s="21" t="s">
        <v>83</v>
      </c>
      <c r="R86" s="2">
        <v>42</v>
      </c>
      <c r="S86" s="2">
        <v>267</v>
      </c>
      <c r="T86" s="2">
        <v>141</v>
      </c>
      <c r="U86" s="4">
        <v>52.80898876404494</v>
      </c>
      <c r="V86" s="21" t="s">
        <v>98</v>
      </c>
      <c r="W86">
        <v>1</v>
      </c>
      <c r="X86">
        <v>52</v>
      </c>
      <c r="Y86" s="20">
        <v>1</v>
      </c>
    </row>
    <row r="87" spans="1:25" x14ac:dyDescent="0.3">
      <c r="A87" s="20" t="s">
        <v>352</v>
      </c>
      <c r="B87" s="21" t="s">
        <v>9</v>
      </c>
      <c r="C87" s="21" t="s">
        <v>138</v>
      </c>
      <c r="D87" s="3">
        <v>45676</v>
      </c>
      <c r="E87" s="21" t="s">
        <v>21</v>
      </c>
      <c r="F87" s="21" t="s">
        <v>22</v>
      </c>
      <c r="G87" s="21" t="s">
        <v>46</v>
      </c>
      <c r="H87" s="2">
        <v>2</v>
      </c>
      <c r="I87" s="2">
        <v>199</v>
      </c>
      <c r="J87" s="2">
        <v>0</v>
      </c>
      <c r="K87" s="21" t="s">
        <v>97</v>
      </c>
      <c r="L87" s="21" t="s">
        <v>7</v>
      </c>
      <c r="M87" s="21" t="s">
        <v>8</v>
      </c>
      <c r="N87" s="3">
        <v>44948</v>
      </c>
      <c r="O87" s="21" t="s">
        <v>47</v>
      </c>
      <c r="P87" s="21" t="s">
        <v>48</v>
      </c>
      <c r="Q87" s="21" t="s">
        <v>49</v>
      </c>
      <c r="R87" s="2">
        <v>95</v>
      </c>
      <c r="S87" s="2">
        <v>398</v>
      </c>
      <c r="T87" s="2">
        <v>208</v>
      </c>
      <c r="U87" s="4">
        <v>52.261306532663319</v>
      </c>
      <c r="V87" s="21" t="s">
        <v>98</v>
      </c>
      <c r="W87">
        <v>1</v>
      </c>
      <c r="X87">
        <v>32</v>
      </c>
      <c r="Y87" s="20">
        <v>1</v>
      </c>
    </row>
    <row r="88" spans="1:25" x14ac:dyDescent="0.3">
      <c r="A88" s="20" t="s">
        <v>352</v>
      </c>
      <c r="B88" s="21" t="s">
        <v>9</v>
      </c>
      <c r="C88" s="21" t="s">
        <v>139</v>
      </c>
      <c r="D88" s="3">
        <v>45677</v>
      </c>
      <c r="E88" s="21" t="s">
        <v>101</v>
      </c>
      <c r="F88" s="21" t="s">
        <v>140</v>
      </c>
      <c r="G88" s="21" t="s">
        <v>79</v>
      </c>
      <c r="H88" s="2">
        <v>2</v>
      </c>
      <c r="I88" s="2">
        <v>189</v>
      </c>
      <c r="J88" s="2">
        <v>18.899999999999999</v>
      </c>
      <c r="K88" s="21" t="s">
        <v>97</v>
      </c>
      <c r="L88" s="21" t="s">
        <v>265</v>
      </c>
      <c r="M88" s="21" t="s">
        <v>101</v>
      </c>
      <c r="N88" s="3"/>
      <c r="O88" s="21" t="s">
        <v>80</v>
      </c>
      <c r="P88" s="21" t="s">
        <v>44</v>
      </c>
      <c r="Q88" s="21" t="s">
        <v>70</v>
      </c>
      <c r="R88" s="2">
        <v>95</v>
      </c>
      <c r="S88" s="2">
        <v>359.1</v>
      </c>
      <c r="T88" s="2">
        <v>169.10000000000002</v>
      </c>
      <c r="U88" s="4">
        <v>47.089947089947096</v>
      </c>
      <c r="V88" s="21" t="s">
        <v>98</v>
      </c>
      <c r="W88">
        <v>1</v>
      </c>
      <c r="X88"/>
      <c r="Y88" s="20"/>
    </row>
    <row r="89" spans="1:25" x14ac:dyDescent="0.3">
      <c r="A89" s="20" t="s">
        <v>352</v>
      </c>
      <c r="B89" s="21" t="s">
        <v>9</v>
      </c>
      <c r="C89" s="21" t="s">
        <v>141</v>
      </c>
      <c r="D89" s="3">
        <v>45678</v>
      </c>
      <c r="E89" s="21" t="s">
        <v>23</v>
      </c>
      <c r="F89" s="21" t="s">
        <v>24</v>
      </c>
      <c r="G89" s="21" t="s">
        <v>50</v>
      </c>
      <c r="H89" s="2">
        <v>4</v>
      </c>
      <c r="I89" s="2">
        <v>45</v>
      </c>
      <c r="J89" s="2">
        <v>0</v>
      </c>
      <c r="K89" s="21" t="s">
        <v>97</v>
      </c>
      <c r="L89" s="21" t="s">
        <v>7</v>
      </c>
      <c r="M89" s="21" t="s">
        <v>13</v>
      </c>
      <c r="N89" s="3">
        <v>45030</v>
      </c>
      <c r="O89" s="21" t="s">
        <v>51</v>
      </c>
      <c r="P89" s="21" t="s">
        <v>52</v>
      </c>
      <c r="Q89" s="21" t="s">
        <v>53</v>
      </c>
      <c r="R89" s="2">
        <v>18</v>
      </c>
      <c r="S89" s="2">
        <v>180</v>
      </c>
      <c r="T89" s="2">
        <v>108</v>
      </c>
      <c r="U89" s="4">
        <v>60</v>
      </c>
      <c r="V89" s="21" t="s">
        <v>98</v>
      </c>
      <c r="W89">
        <v>1</v>
      </c>
      <c r="X89">
        <v>18</v>
      </c>
      <c r="Y89" s="20">
        <v>1</v>
      </c>
    </row>
    <row r="90" spans="1:25" x14ac:dyDescent="0.3">
      <c r="A90" s="20" t="s">
        <v>352</v>
      </c>
      <c r="B90" s="21" t="s">
        <v>9</v>
      </c>
      <c r="C90" s="21" t="s">
        <v>142</v>
      </c>
      <c r="D90" s="3">
        <v>45679</v>
      </c>
      <c r="E90" s="21" t="s">
        <v>25</v>
      </c>
      <c r="F90" s="21" t="s">
        <v>26</v>
      </c>
      <c r="G90" s="21" t="s">
        <v>60</v>
      </c>
      <c r="H90" s="2">
        <v>1</v>
      </c>
      <c r="I90" s="2">
        <v>899</v>
      </c>
      <c r="J90" s="2">
        <v>0</v>
      </c>
      <c r="K90" s="21" t="s">
        <v>97</v>
      </c>
      <c r="L90" s="21" t="s">
        <v>27</v>
      </c>
      <c r="M90" s="21" t="s">
        <v>13</v>
      </c>
      <c r="N90" s="3">
        <v>45168</v>
      </c>
      <c r="O90" s="21" t="s">
        <v>61</v>
      </c>
      <c r="P90" s="21" t="s">
        <v>48</v>
      </c>
      <c r="Q90" s="21" t="s">
        <v>62</v>
      </c>
      <c r="R90" s="2">
        <v>520</v>
      </c>
      <c r="S90" s="2">
        <v>899</v>
      </c>
      <c r="T90" s="2">
        <v>379</v>
      </c>
      <c r="U90" s="4">
        <v>42.157953281423808</v>
      </c>
      <c r="V90" s="21" t="s">
        <v>98</v>
      </c>
      <c r="W90">
        <v>1</v>
      </c>
      <c r="X90">
        <v>46</v>
      </c>
      <c r="Y90" s="20">
        <v>1</v>
      </c>
    </row>
    <row r="91" spans="1:25" x14ac:dyDescent="0.3">
      <c r="A91" s="20" t="s">
        <v>352</v>
      </c>
      <c r="B91" s="21" t="s">
        <v>9</v>
      </c>
      <c r="C91" s="21" t="s">
        <v>143</v>
      </c>
      <c r="D91" s="3">
        <v>45679</v>
      </c>
      <c r="E91" s="21" t="s">
        <v>18</v>
      </c>
      <c r="F91" s="21" t="s">
        <v>19</v>
      </c>
      <c r="G91" s="21" t="s">
        <v>42</v>
      </c>
      <c r="H91" s="2">
        <v>1</v>
      </c>
      <c r="I91" s="2">
        <v>349</v>
      </c>
      <c r="J91" s="2">
        <v>34.9</v>
      </c>
      <c r="K91" s="21" t="s">
        <v>97</v>
      </c>
      <c r="L91" s="21" t="s">
        <v>20</v>
      </c>
      <c r="M91" s="21" t="s">
        <v>13</v>
      </c>
      <c r="N91" s="3">
        <v>44931</v>
      </c>
      <c r="O91" s="21" t="s">
        <v>43</v>
      </c>
      <c r="P91" s="21" t="s">
        <v>44</v>
      </c>
      <c r="Q91" s="21" t="s">
        <v>45</v>
      </c>
      <c r="R91" s="2">
        <v>165</v>
      </c>
      <c r="S91" s="2">
        <v>314.10000000000002</v>
      </c>
      <c r="T91" s="2">
        <v>149.10000000000002</v>
      </c>
      <c r="U91" s="4">
        <v>47.468958930276983</v>
      </c>
      <c r="V91" s="21" t="s">
        <v>98</v>
      </c>
      <c r="W91">
        <v>1</v>
      </c>
      <c r="X91">
        <v>35</v>
      </c>
      <c r="Y91" s="20">
        <v>1</v>
      </c>
    </row>
    <row r="92" spans="1:25" x14ac:dyDescent="0.3">
      <c r="A92" s="20" t="s">
        <v>352</v>
      </c>
      <c r="B92" s="21" t="s">
        <v>9</v>
      </c>
      <c r="C92" s="21" t="s">
        <v>144</v>
      </c>
      <c r="D92" s="3">
        <v>45680</v>
      </c>
      <c r="E92" s="21" t="s">
        <v>10</v>
      </c>
      <c r="F92" s="21" t="s">
        <v>11</v>
      </c>
      <c r="G92" s="21" t="s">
        <v>54</v>
      </c>
      <c r="H92" s="2">
        <v>1</v>
      </c>
      <c r="I92" s="2">
        <v>1299</v>
      </c>
      <c r="J92" s="2">
        <v>130</v>
      </c>
      <c r="K92" s="21" t="s">
        <v>97</v>
      </c>
      <c r="L92" s="21" t="s">
        <v>12</v>
      </c>
      <c r="M92" s="21" t="s">
        <v>13</v>
      </c>
      <c r="N92" s="3">
        <v>44744</v>
      </c>
      <c r="O92" s="21" t="s">
        <v>55</v>
      </c>
      <c r="P92" s="21" t="s">
        <v>44</v>
      </c>
      <c r="Q92" s="21" t="s">
        <v>56</v>
      </c>
      <c r="R92" s="2">
        <v>820</v>
      </c>
      <c r="S92" s="2">
        <v>1169</v>
      </c>
      <c r="T92" s="2">
        <v>349</v>
      </c>
      <c r="U92" s="4">
        <v>29.854576561163388</v>
      </c>
      <c r="V92" s="21" t="s">
        <v>98</v>
      </c>
      <c r="W92">
        <v>1</v>
      </c>
      <c r="X92">
        <v>32</v>
      </c>
      <c r="Y92" s="20">
        <v>1</v>
      </c>
    </row>
    <row r="93" spans="1:25" x14ac:dyDescent="0.3">
      <c r="A93" s="20" t="s">
        <v>352</v>
      </c>
      <c r="B93" s="21" t="s">
        <v>9</v>
      </c>
      <c r="C93" s="21" t="s">
        <v>145</v>
      </c>
      <c r="D93" s="3">
        <v>45680</v>
      </c>
      <c r="E93" s="21" t="s">
        <v>101</v>
      </c>
      <c r="F93" s="21" t="s">
        <v>146</v>
      </c>
      <c r="G93" s="21" t="s">
        <v>63</v>
      </c>
      <c r="H93" s="2">
        <v>3</v>
      </c>
      <c r="I93" s="2">
        <v>29</v>
      </c>
      <c r="J93" s="2">
        <v>0</v>
      </c>
      <c r="K93" s="21" t="s">
        <v>97</v>
      </c>
      <c r="L93" s="21" t="s">
        <v>265</v>
      </c>
      <c r="M93" s="21" t="s">
        <v>101</v>
      </c>
      <c r="N93" s="3"/>
      <c r="O93" s="21" t="s">
        <v>64</v>
      </c>
      <c r="P93" s="21" t="s">
        <v>52</v>
      </c>
      <c r="Q93" s="21" t="s">
        <v>62</v>
      </c>
      <c r="R93" s="2">
        <v>11</v>
      </c>
      <c r="S93" s="2">
        <v>87</v>
      </c>
      <c r="T93" s="2">
        <v>54</v>
      </c>
      <c r="U93" s="4">
        <v>62.068965517241381</v>
      </c>
      <c r="V93" s="21" t="s">
        <v>98</v>
      </c>
      <c r="W93">
        <v>1</v>
      </c>
      <c r="X93"/>
      <c r="Y93" s="20"/>
    </row>
    <row r="94" spans="1:25" x14ac:dyDescent="0.3">
      <c r="A94" s="20" t="s">
        <v>352</v>
      </c>
      <c r="B94" s="21" t="s">
        <v>9</v>
      </c>
      <c r="C94" s="21" t="s">
        <v>147</v>
      </c>
      <c r="D94" s="3">
        <v>45681</v>
      </c>
      <c r="E94" s="21" t="s">
        <v>33</v>
      </c>
      <c r="F94" s="21" t="s">
        <v>34</v>
      </c>
      <c r="G94" s="21" t="s">
        <v>71</v>
      </c>
      <c r="H94" s="2">
        <v>1</v>
      </c>
      <c r="I94" s="2">
        <v>459</v>
      </c>
      <c r="J94" s="2">
        <v>0</v>
      </c>
      <c r="K94" s="21" t="s">
        <v>97</v>
      </c>
      <c r="L94" s="21" t="s">
        <v>7</v>
      </c>
      <c r="M94" s="21" t="s">
        <v>30</v>
      </c>
      <c r="N94" s="3">
        <v>45279</v>
      </c>
      <c r="O94" s="21" t="s">
        <v>72</v>
      </c>
      <c r="P94" s="21" t="s">
        <v>48</v>
      </c>
      <c r="Q94" s="21" t="s">
        <v>49</v>
      </c>
      <c r="R94" s="2">
        <v>210</v>
      </c>
      <c r="S94" s="2">
        <v>459</v>
      </c>
      <c r="T94" s="2">
        <v>249</v>
      </c>
      <c r="U94" s="4">
        <v>54.248366013071895</v>
      </c>
      <c r="V94" s="21" t="s">
        <v>98</v>
      </c>
      <c r="W94">
        <v>1</v>
      </c>
      <c r="X94">
        <v>8</v>
      </c>
      <c r="Y94" s="20">
        <v>1</v>
      </c>
    </row>
    <row r="95" spans="1:25" x14ac:dyDescent="0.3">
      <c r="A95" s="20" t="s">
        <v>352</v>
      </c>
      <c r="B95" s="21" t="s">
        <v>9</v>
      </c>
      <c r="C95" s="21" t="s">
        <v>148</v>
      </c>
      <c r="D95" s="3">
        <v>45682</v>
      </c>
      <c r="E95" s="21" t="s">
        <v>5</v>
      </c>
      <c r="F95" s="21" t="s">
        <v>6</v>
      </c>
      <c r="G95" s="21" t="s">
        <v>57</v>
      </c>
      <c r="H95" s="2">
        <v>2</v>
      </c>
      <c r="I95" s="2">
        <v>529</v>
      </c>
      <c r="J95" s="2">
        <v>53</v>
      </c>
      <c r="K95" s="21" t="s">
        <v>97</v>
      </c>
      <c r="L95" s="21" t="s">
        <v>7</v>
      </c>
      <c r="M95" s="21" t="s">
        <v>8</v>
      </c>
      <c r="N95" s="3">
        <v>44635</v>
      </c>
      <c r="O95" s="21" t="s">
        <v>58</v>
      </c>
      <c r="P95" s="21" t="s">
        <v>44</v>
      </c>
      <c r="Q95" s="21" t="s">
        <v>59</v>
      </c>
      <c r="R95" s="2">
        <v>260</v>
      </c>
      <c r="S95" s="2">
        <v>1005</v>
      </c>
      <c r="T95" s="2">
        <v>485</v>
      </c>
      <c r="U95" s="4">
        <v>48.258706467661696</v>
      </c>
      <c r="V95" s="21" t="s">
        <v>98</v>
      </c>
      <c r="W95">
        <v>1</v>
      </c>
      <c r="X95">
        <v>52</v>
      </c>
      <c r="Y95" s="20">
        <v>1</v>
      </c>
    </row>
    <row r="96" spans="1:25" x14ac:dyDescent="0.3">
      <c r="A96" s="20" t="s">
        <v>352</v>
      </c>
      <c r="B96" s="21" t="s">
        <v>9</v>
      </c>
      <c r="C96" s="21" t="s">
        <v>149</v>
      </c>
      <c r="D96" s="3">
        <v>45682</v>
      </c>
      <c r="E96" s="21" t="s">
        <v>21</v>
      </c>
      <c r="F96" s="21" t="s">
        <v>22</v>
      </c>
      <c r="G96" s="21" t="s">
        <v>75</v>
      </c>
      <c r="H96" s="2">
        <v>1</v>
      </c>
      <c r="I96" s="2">
        <v>599</v>
      </c>
      <c r="J96" s="2">
        <v>0</v>
      </c>
      <c r="K96" s="21" t="s">
        <v>97</v>
      </c>
      <c r="L96" s="21" t="s">
        <v>7</v>
      </c>
      <c r="M96" s="21" t="s">
        <v>8</v>
      </c>
      <c r="N96" s="3">
        <v>44948</v>
      </c>
      <c r="O96" s="21" t="s">
        <v>76</v>
      </c>
      <c r="P96" s="21" t="s">
        <v>44</v>
      </c>
      <c r="Q96" s="21" t="s">
        <v>59</v>
      </c>
      <c r="R96" s="2">
        <v>350</v>
      </c>
      <c r="S96" s="2">
        <v>599</v>
      </c>
      <c r="T96" s="2">
        <v>249</v>
      </c>
      <c r="U96" s="4">
        <v>41.569282136894827</v>
      </c>
      <c r="V96" s="21" t="s">
        <v>98</v>
      </c>
      <c r="W96">
        <v>1</v>
      </c>
      <c r="X96">
        <v>32</v>
      </c>
      <c r="Y96" s="20">
        <v>1</v>
      </c>
    </row>
    <row r="97" spans="1:25" x14ac:dyDescent="0.3">
      <c r="A97" s="20" t="s">
        <v>352</v>
      </c>
      <c r="B97" s="21" t="s">
        <v>9</v>
      </c>
      <c r="C97" s="21" t="s">
        <v>150</v>
      </c>
      <c r="D97" s="3">
        <v>45683</v>
      </c>
      <c r="E97" s="21" t="s">
        <v>101</v>
      </c>
      <c r="F97" s="21" t="s">
        <v>151</v>
      </c>
      <c r="G97" s="21" t="s">
        <v>77</v>
      </c>
      <c r="H97" s="2">
        <v>1</v>
      </c>
      <c r="I97" s="2">
        <v>1099</v>
      </c>
      <c r="J97" s="2">
        <v>0</v>
      </c>
      <c r="K97" s="21" t="s">
        <v>97</v>
      </c>
      <c r="L97" s="21" t="s">
        <v>265</v>
      </c>
      <c r="M97" s="21" t="s">
        <v>101</v>
      </c>
      <c r="N97" s="3"/>
      <c r="O97" s="21" t="s">
        <v>78</v>
      </c>
      <c r="P97" s="21" t="s">
        <v>48</v>
      </c>
      <c r="Q97" s="21" t="s">
        <v>62</v>
      </c>
      <c r="R97" s="2">
        <v>650</v>
      </c>
      <c r="S97" s="2">
        <v>1099</v>
      </c>
      <c r="T97" s="2">
        <v>449</v>
      </c>
      <c r="U97" s="4">
        <v>40.855323020928111</v>
      </c>
      <c r="V97" s="21" t="s">
        <v>98</v>
      </c>
      <c r="W97">
        <v>1</v>
      </c>
      <c r="X97"/>
      <c r="Y97" s="20"/>
    </row>
    <row r="98" spans="1:25" x14ac:dyDescent="0.3">
      <c r="A98" s="20" t="s">
        <v>352</v>
      </c>
      <c r="B98" s="21" t="s">
        <v>9</v>
      </c>
      <c r="C98" s="21" t="s">
        <v>152</v>
      </c>
      <c r="D98" s="3">
        <v>45684</v>
      </c>
      <c r="E98" s="21" t="s">
        <v>15</v>
      </c>
      <c r="F98" s="21" t="s">
        <v>16</v>
      </c>
      <c r="G98" s="21" t="s">
        <v>73</v>
      </c>
      <c r="H98" s="2">
        <v>5</v>
      </c>
      <c r="I98" s="2">
        <v>19</v>
      </c>
      <c r="J98" s="2">
        <v>0</v>
      </c>
      <c r="K98" s="21" t="s">
        <v>97</v>
      </c>
      <c r="L98" s="21" t="s">
        <v>7</v>
      </c>
      <c r="M98" s="21" t="s">
        <v>13</v>
      </c>
      <c r="N98" s="3">
        <v>44883</v>
      </c>
      <c r="O98" s="21" t="s">
        <v>74</v>
      </c>
      <c r="P98" s="21" t="s">
        <v>52</v>
      </c>
      <c r="Q98" s="21" t="s">
        <v>62</v>
      </c>
      <c r="R98" s="2">
        <v>8</v>
      </c>
      <c r="S98" s="2">
        <v>95</v>
      </c>
      <c r="T98" s="2">
        <v>55</v>
      </c>
      <c r="U98" s="4">
        <v>57.894736842105267</v>
      </c>
      <c r="V98" s="21" t="s">
        <v>98</v>
      </c>
      <c r="W98">
        <v>1</v>
      </c>
      <c r="X98">
        <v>32</v>
      </c>
      <c r="Y98" s="20">
        <v>1</v>
      </c>
    </row>
    <row r="99" spans="1:25" x14ac:dyDescent="0.3">
      <c r="A99" s="20" t="s">
        <v>352</v>
      </c>
      <c r="B99" s="21" t="s">
        <v>9</v>
      </c>
      <c r="C99" s="21" t="s">
        <v>153</v>
      </c>
      <c r="D99" s="3">
        <v>45684</v>
      </c>
      <c r="E99" s="21" t="s">
        <v>23</v>
      </c>
      <c r="F99" s="21" t="s">
        <v>24</v>
      </c>
      <c r="G99" s="21" t="s">
        <v>68</v>
      </c>
      <c r="H99" s="2">
        <v>1</v>
      </c>
      <c r="I99" s="2">
        <v>229</v>
      </c>
      <c r="J99" s="2">
        <v>0</v>
      </c>
      <c r="K99" s="21" t="s">
        <v>97</v>
      </c>
      <c r="L99" s="21" t="s">
        <v>7</v>
      </c>
      <c r="M99" s="21" t="s">
        <v>13</v>
      </c>
      <c r="N99" s="3">
        <v>45030</v>
      </c>
      <c r="O99" s="21" t="s">
        <v>69</v>
      </c>
      <c r="P99" s="21" t="s">
        <v>44</v>
      </c>
      <c r="Q99" s="21" t="s">
        <v>70</v>
      </c>
      <c r="R99" s="2">
        <v>110</v>
      </c>
      <c r="S99" s="2">
        <v>229</v>
      </c>
      <c r="T99" s="2">
        <v>119</v>
      </c>
      <c r="U99" s="4">
        <v>51.965065502183407</v>
      </c>
      <c r="V99" s="21" t="s">
        <v>98</v>
      </c>
      <c r="W99">
        <v>1</v>
      </c>
      <c r="X99">
        <v>18</v>
      </c>
      <c r="Y99" s="20">
        <v>1</v>
      </c>
    </row>
    <row r="100" spans="1:25" x14ac:dyDescent="0.3">
      <c r="A100" s="20" t="s">
        <v>352</v>
      </c>
      <c r="B100" s="21" t="s">
        <v>9</v>
      </c>
      <c r="C100" s="21" t="s">
        <v>154</v>
      </c>
      <c r="D100" s="3">
        <v>45685</v>
      </c>
      <c r="E100" s="21" t="s">
        <v>25</v>
      </c>
      <c r="F100" s="21" t="s">
        <v>26</v>
      </c>
      <c r="G100" s="21" t="s">
        <v>65</v>
      </c>
      <c r="H100" s="2">
        <v>1</v>
      </c>
      <c r="I100" s="2">
        <v>749</v>
      </c>
      <c r="J100" s="2">
        <v>74.900000000000006</v>
      </c>
      <c r="K100" s="21" t="s">
        <v>97</v>
      </c>
      <c r="L100" s="21" t="s">
        <v>27</v>
      </c>
      <c r="M100" s="21" t="s">
        <v>13</v>
      </c>
      <c r="N100" s="3">
        <v>45168</v>
      </c>
      <c r="O100" s="21" t="s">
        <v>66</v>
      </c>
      <c r="P100" s="21" t="s">
        <v>44</v>
      </c>
      <c r="Q100" s="21" t="s">
        <v>67</v>
      </c>
      <c r="R100" s="2">
        <v>490</v>
      </c>
      <c r="S100" s="2">
        <v>674.1</v>
      </c>
      <c r="T100" s="2">
        <v>184.10000000000002</v>
      </c>
      <c r="U100" s="4">
        <v>27.310488058151609</v>
      </c>
      <c r="V100" s="21" t="s">
        <v>98</v>
      </c>
      <c r="W100">
        <v>1</v>
      </c>
      <c r="X100">
        <v>46</v>
      </c>
      <c r="Y100" s="20">
        <v>1</v>
      </c>
    </row>
    <row r="101" spans="1:25" x14ac:dyDescent="0.3">
      <c r="A101" s="20" t="s">
        <v>352</v>
      </c>
      <c r="B101" s="21" t="s">
        <v>9</v>
      </c>
      <c r="C101" s="21" t="s">
        <v>155</v>
      </c>
      <c r="D101" s="3">
        <v>45685</v>
      </c>
      <c r="E101" s="21" t="s">
        <v>18</v>
      </c>
      <c r="F101" s="21" t="s">
        <v>19</v>
      </c>
      <c r="G101" s="21" t="s">
        <v>81</v>
      </c>
      <c r="H101" s="2">
        <v>2</v>
      </c>
      <c r="I101" s="2">
        <v>89</v>
      </c>
      <c r="J101" s="2">
        <v>0</v>
      </c>
      <c r="K101" s="21" t="s">
        <v>97</v>
      </c>
      <c r="L101" s="21" t="s">
        <v>20</v>
      </c>
      <c r="M101" s="21" t="s">
        <v>13</v>
      </c>
      <c r="N101" s="3">
        <v>44931</v>
      </c>
      <c r="O101" s="21" t="s">
        <v>82</v>
      </c>
      <c r="P101" s="21" t="s">
        <v>52</v>
      </c>
      <c r="Q101" s="21" t="s">
        <v>83</v>
      </c>
      <c r="R101" s="2">
        <v>42</v>
      </c>
      <c r="S101" s="2">
        <v>178</v>
      </c>
      <c r="T101" s="2">
        <v>94</v>
      </c>
      <c r="U101" s="4">
        <v>52.80898876404494</v>
      </c>
      <c r="V101" s="21" t="s">
        <v>98</v>
      </c>
      <c r="W101">
        <v>1</v>
      </c>
      <c r="X101">
        <v>35</v>
      </c>
      <c r="Y101" s="20">
        <v>1</v>
      </c>
    </row>
    <row r="102" spans="1:25" x14ac:dyDescent="0.3">
      <c r="A102" s="20" t="s">
        <v>352</v>
      </c>
      <c r="B102" s="21" t="s">
        <v>9</v>
      </c>
      <c r="C102" s="21" t="s">
        <v>156</v>
      </c>
      <c r="D102" s="3">
        <v>45686</v>
      </c>
      <c r="E102" s="21" t="s">
        <v>101</v>
      </c>
      <c r="F102" s="21" t="s">
        <v>157</v>
      </c>
      <c r="G102" s="21" t="s">
        <v>46</v>
      </c>
      <c r="H102" s="2">
        <v>1</v>
      </c>
      <c r="I102" s="2">
        <v>199</v>
      </c>
      <c r="J102" s="2">
        <v>0</v>
      </c>
      <c r="K102" s="21" t="s">
        <v>97</v>
      </c>
      <c r="L102" s="21" t="s">
        <v>265</v>
      </c>
      <c r="M102" s="21" t="s">
        <v>101</v>
      </c>
      <c r="N102" s="3"/>
      <c r="O102" s="21" t="s">
        <v>47</v>
      </c>
      <c r="P102" s="21" t="s">
        <v>48</v>
      </c>
      <c r="Q102" s="21" t="s">
        <v>49</v>
      </c>
      <c r="R102" s="2">
        <v>95</v>
      </c>
      <c r="S102" s="2">
        <v>199</v>
      </c>
      <c r="T102" s="2">
        <v>104</v>
      </c>
      <c r="U102" s="4">
        <v>52.261306532663319</v>
      </c>
      <c r="V102" s="21" t="s">
        <v>98</v>
      </c>
      <c r="W102">
        <v>1</v>
      </c>
      <c r="X102"/>
      <c r="Y102" s="20"/>
    </row>
    <row r="103" spans="1:25" x14ac:dyDescent="0.3">
      <c r="A103" s="20" t="s">
        <v>352</v>
      </c>
      <c r="B103" s="21" t="s">
        <v>9</v>
      </c>
      <c r="C103" s="21" t="s">
        <v>158</v>
      </c>
      <c r="D103" s="3">
        <v>45686</v>
      </c>
      <c r="E103" s="21" t="s">
        <v>10</v>
      </c>
      <c r="F103" s="21" t="s">
        <v>11</v>
      </c>
      <c r="G103" s="21" t="s">
        <v>42</v>
      </c>
      <c r="H103" s="2">
        <v>1</v>
      </c>
      <c r="I103" s="2">
        <v>349</v>
      </c>
      <c r="J103" s="2">
        <v>0</v>
      </c>
      <c r="K103" s="21" t="s">
        <v>97</v>
      </c>
      <c r="L103" s="21" t="s">
        <v>12</v>
      </c>
      <c r="M103" s="21" t="s">
        <v>13</v>
      </c>
      <c r="N103" s="3">
        <v>44744</v>
      </c>
      <c r="O103" s="21" t="s">
        <v>43</v>
      </c>
      <c r="P103" s="21" t="s">
        <v>44</v>
      </c>
      <c r="Q103" s="21" t="s">
        <v>45</v>
      </c>
      <c r="R103" s="2">
        <v>165</v>
      </c>
      <c r="S103" s="2">
        <v>349</v>
      </c>
      <c r="T103" s="2">
        <v>184</v>
      </c>
      <c r="U103" s="4">
        <v>52.722063037249278</v>
      </c>
      <c r="V103" s="21" t="s">
        <v>98</v>
      </c>
      <c r="W103">
        <v>1</v>
      </c>
      <c r="X103">
        <v>32</v>
      </c>
      <c r="Y103" s="20">
        <v>1</v>
      </c>
    </row>
    <row r="104" spans="1:25" x14ac:dyDescent="0.3">
      <c r="A104" s="20" t="s">
        <v>352</v>
      </c>
      <c r="B104" s="21" t="s">
        <v>9</v>
      </c>
      <c r="C104" s="21" t="s">
        <v>159</v>
      </c>
      <c r="D104" s="3">
        <v>45687</v>
      </c>
      <c r="E104" s="21" t="s">
        <v>33</v>
      </c>
      <c r="F104" s="21" t="s">
        <v>34</v>
      </c>
      <c r="G104" s="21" t="s">
        <v>84</v>
      </c>
      <c r="H104" s="2">
        <v>1</v>
      </c>
      <c r="I104" s="2">
        <v>2199</v>
      </c>
      <c r="J104" s="2">
        <v>219.9</v>
      </c>
      <c r="K104" s="21" t="s">
        <v>97</v>
      </c>
      <c r="L104" s="21" t="s">
        <v>7</v>
      </c>
      <c r="M104" s="21" t="s">
        <v>30</v>
      </c>
      <c r="N104" s="3">
        <v>45279</v>
      </c>
      <c r="O104" s="21" t="s">
        <v>85</v>
      </c>
      <c r="P104" s="21" t="s">
        <v>44</v>
      </c>
      <c r="Q104" s="21" t="s">
        <v>56</v>
      </c>
      <c r="R104" s="2">
        <v>1380</v>
      </c>
      <c r="S104" s="2">
        <v>1979.1</v>
      </c>
      <c r="T104" s="2">
        <v>599.09999999999991</v>
      </c>
      <c r="U104" s="4">
        <v>30.27133545551008</v>
      </c>
      <c r="V104" s="21" t="s">
        <v>98</v>
      </c>
      <c r="W104">
        <v>1</v>
      </c>
      <c r="X104">
        <v>8</v>
      </c>
      <c r="Y104" s="20">
        <v>1</v>
      </c>
    </row>
    <row r="105" spans="1:25" x14ac:dyDescent="0.3">
      <c r="A105" s="20" t="s">
        <v>352</v>
      </c>
      <c r="B105" s="21" t="s">
        <v>9</v>
      </c>
      <c r="C105" s="21" t="s">
        <v>160</v>
      </c>
      <c r="D105" s="3">
        <v>45687</v>
      </c>
      <c r="E105" s="21" t="s">
        <v>5</v>
      </c>
      <c r="F105" s="21" t="s">
        <v>6</v>
      </c>
      <c r="G105" s="21" t="s">
        <v>50</v>
      </c>
      <c r="H105" s="2">
        <v>2</v>
      </c>
      <c r="I105" s="2">
        <v>45</v>
      </c>
      <c r="J105" s="2">
        <v>0</v>
      </c>
      <c r="K105" s="21" t="s">
        <v>97</v>
      </c>
      <c r="L105" s="21" t="s">
        <v>7</v>
      </c>
      <c r="M105" s="21" t="s">
        <v>8</v>
      </c>
      <c r="N105" s="3">
        <v>44635</v>
      </c>
      <c r="O105" s="21" t="s">
        <v>51</v>
      </c>
      <c r="P105" s="21" t="s">
        <v>52</v>
      </c>
      <c r="Q105" s="21" t="s">
        <v>53</v>
      </c>
      <c r="R105" s="2">
        <v>18</v>
      </c>
      <c r="S105" s="2">
        <v>90</v>
      </c>
      <c r="T105" s="2">
        <v>54</v>
      </c>
      <c r="U105" s="4">
        <v>60</v>
      </c>
      <c r="V105" s="21" t="s">
        <v>98</v>
      </c>
      <c r="W105">
        <v>1</v>
      </c>
      <c r="X105">
        <v>52</v>
      </c>
      <c r="Y105" s="20">
        <v>1</v>
      </c>
    </row>
    <row r="106" spans="1:25" x14ac:dyDescent="0.3">
      <c r="A106" s="20" t="s">
        <v>352</v>
      </c>
      <c r="B106" s="21" t="s">
        <v>9</v>
      </c>
      <c r="C106" s="21" t="s">
        <v>161</v>
      </c>
      <c r="D106" s="3">
        <v>45688</v>
      </c>
      <c r="E106" s="21" t="s">
        <v>21</v>
      </c>
      <c r="F106" s="21" t="s">
        <v>22</v>
      </c>
      <c r="G106" s="21" t="s">
        <v>60</v>
      </c>
      <c r="H106" s="2">
        <v>1</v>
      </c>
      <c r="I106" s="2">
        <v>899</v>
      </c>
      <c r="J106" s="2">
        <v>0</v>
      </c>
      <c r="K106" s="21" t="s">
        <v>97</v>
      </c>
      <c r="L106" s="21" t="s">
        <v>7</v>
      </c>
      <c r="M106" s="21" t="s">
        <v>8</v>
      </c>
      <c r="N106" s="3">
        <v>44948</v>
      </c>
      <c r="O106" s="21" t="s">
        <v>61</v>
      </c>
      <c r="P106" s="21" t="s">
        <v>48</v>
      </c>
      <c r="Q106" s="21" t="s">
        <v>62</v>
      </c>
      <c r="R106" s="2">
        <v>520</v>
      </c>
      <c r="S106" s="2">
        <v>899</v>
      </c>
      <c r="T106" s="2">
        <v>379</v>
      </c>
      <c r="U106" s="4">
        <v>42.157953281423808</v>
      </c>
      <c r="V106" s="21" t="s">
        <v>98</v>
      </c>
      <c r="W106">
        <v>1</v>
      </c>
      <c r="X106">
        <v>32</v>
      </c>
      <c r="Y106" s="20">
        <v>1</v>
      </c>
    </row>
    <row r="107" spans="1:25" x14ac:dyDescent="0.3">
      <c r="A107" s="20" t="s">
        <v>352</v>
      </c>
      <c r="B107" s="21" t="s">
        <v>9</v>
      </c>
      <c r="C107" s="21" t="s">
        <v>162</v>
      </c>
      <c r="D107" s="3">
        <v>45688</v>
      </c>
      <c r="E107" s="21" t="s">
        <v>101</v>
      </c>
      <c r="F107" s="21" t="s">
        <v>163</v>
      </c>
      <c r="G107" s="21" t="s">
        <v>79</v>
      </c>
      <c r="H107" s="2">
        <v>1</v>
      </c>
      <c r="I107" s="2">
        <v>189</v>
      </c>
      <c r="J107" s="2">
        <v>19</v>
      </c>
      <c r="K107" s="21" t="s">
        <v>97</v>
      </c>
      <c r="L107" s="21" t="s">
        <v>265</v>
      </c>
      <c r="M107" s="21" t="s">
        <v>101</v>
      </c>
      <c r="N107" s="3"/>
      <c r="O107" s="21" t="s">
        <v>80</v>
      </c>
      <c r="P107" s="21" t="s">
        <v>44</v>
      </c>
      <c r="Q107" s="21" t="s">
        <v>70</v>
      </c>
      <c r="R107" s="2">
        <v>95</v>
      </c>
      <c r="S107" s="2">
        <v>170</v>
      </c>
      <c r="T107" s="2">
        <v>75</v>
      </c>
      <c r="U107" s="4">
        <v>44.117647058823529</v>
      </c>
      <c r="V107" s="21" t="s">
        <v>98</v>
      </c>
      <c r="W107">
        <v>1</v>
      </c>
      <c r="X107"/>
      <c r="Y107" s="20"/>
    </row>
    <row r="108" spans="1:25" x14ac:dyDescent="0.3">
      <c r="A108" s="20" t="s">
        <v>469</v>
      </c>
      <c r="B108" s="21" t="s">
        <v>9</v>
      </c>
      <c r="C108" s="21" t="s">
        <v>470</v>
      </c>
      <c r="D108" s="3">
        <v>45717</v>
      </c>
      <c r="E108" s="21" t="s">
        <v>5</v>
      </c>
      <c r="F108" s="21" t="s">
        <v>6</v>
      </c>
      <c r="G108" s="21" t="s">
        <v>84</v>
      </c>
      <c r="H108" s="2">
        <v>1</v>
      </c>
      <c r="I108" s="2">
        <v>2199</v>
      </c>
      <c r="J108" s="2">
        <v>220</v>
      </c>
      <c r="K108" s="21" t="s">
        <v>97</v>
      </c>
      <c r="L108" s="21" t="s">
        <v>7</v>
      </c>
      <c r="M108" s="21" t="s">
        <v>8</v>
      </c>
      <c r="N108" s="3">
        <v>44635</v>
      </c>
      <c r="O108" s="21" t="s">
        <v>85</v>
      </c>
      <c r="P108" s="21" t="s">
        <v>44</v>
      </c>
      <c r="Q108" s="21" t="s">
        <v>56</v>
      </c>
      <c r="R108" s="2">
        <v>1380</v>
      </c>
      <c r="S108" s="2">
        <v>1979</v>
      </c>
      <c r="T108" s="2">
        <v>599</v>
      </c>
      <c r="U108" s="4">
        <v>30.267812026275898</v>
      </c>
      <c r="V108" s="21" t="s">
        <v>471</v>
      </c>
      <c r="W108">
        <v>1</v>
      </c>
      <c r="X108">
        <v>52</v>
      </c>
      <c r="Y108" s="20">
        <v>1</v>
      </c>
    </row>
    <row r="109" spans="1:25" x14ac:dyDescent="0.3">
      <c r="A109" s="20" t="s">
        <v>469</v>
      </c>
      <c r="B109" s="21" t="s">
        <v>9</v>
      </c>
      <c r="C109" s="21" t="s">
        <v>472</v>
      </c>
      <c r="D109" s="3">
        <v>45717</v>
      </c>
      <c r="E109" s="21" t="s">
        <v>21</v>
      </c>
      <c r="F109" s="21" t="s">
        <v>22</v>
      </c>
      <c r="G109" s="21" t="s">
        <v>42</v>
      </c>
      <c r="H109" s="2">
        <v>2</v>
      </c>
      <c r="I109" s="2">
        <v>349</v>
      </c>
      <c r="J109" s="2">
        <v>34.9</v>
      </c>
      <c r="K109" s="21" t="s">
        <v>97</v>
      </c>
      <c r="L109" s="21" t="s">
        <v>7</v>
      </c>
      <c r="M109" s="21" t="s">
        <v>8</v>
      </c>
      <c r="N109" s="3">
        <v>44948</v>
      </c>
      <c r="O109" s="21" t="s">
        <v>43</v>
      </c>
      <c r="P109" s="21" t="s">
        <v>44</v>
      </c>
      <c r="Q109" s="21" t="s">
        <v>45</v>
      </c>
      <c r="R109" s="2">
        <v>165</v>
      </c>
      <c r="S109" s="2">
        <v>663.1</v>
      </c>
      <c r="T109" s="2">
        <v>333.1</v>
      </c>
      <c r="U109" s="4">
        <v>50.233750565525561</v>
      </c>
      <c r="V109" s="21" t="s">
        <v>471</v>
      </c>
      <c r="W109">
        <v>1</v>
      </c>
      <c r="X109">
        <v>32</v>
      </c>
      <c r="Y109" s="20">
        <v>1</v>
      </c>
    </row>
    <row r="110" spans="1:25" x14ac:dyDescent="0.3">
      <c r="A110" s="20" t="s">
        <v>469</v>
      </c>
      <c r="B110" s="21" t="s">
        <v>9</v>
      </c>
      <c r="C110" s="21" t="s">
        <v>473</v>
      </c>
      <c r="D110" s="3">
        <v>45718</v>
      </c>
      <c r="E110" s="21" t="s">
        <v>101</v>
      </c>
      <c r="F110" s="21" t="s">
        <v>474</v>
      </c>
      <c r="G110" s="21" t="s">
        <v>50</v>
      </c>
      <c r="H110" s="2">
        <v>3</v>
      </c>
      <c r="I110" s="2">
        <v>45</v>
      </c>
      <c r="J110" s="2">
        <v>0</v>
      </c>
      <c r="K110" s="21" t="s">
        <v>97</v>
      </c>
      <c r="L110" s="21" t="s">
        <v>265</v>
      </c>
      <c r="M110" s="21" t="s">
        <v>101</v>
      </c>
      <c r="N110" s="3"/>
      <c r="O110" s="21" t="s">
        <v>51</v>
      </c>
      <c r="P110" s="21" t="s">
        <v>52</v>
      </c>
      <c r="Q110" s="21" t="s">
        <v>53</v>
      </c>
      <c r="R110" s="2">
        <v>18</v>
      </c>
      <c r="S110" s="2">
        <v>135</v>
      </c>
      <c r="T110" s="2">
        <v>81</v>
      </c>
      <c r="U110" s="4">
        <v>60</v>
      </c>
      <c r="V110" s="21" t="s">
        <v>471</v>
      </c>
      <c r="W110">
        <v>1</v>
      </c>
      <c r="X110"/>
      <c r="Y110" s="20"/>
    </row>
    <row r="111" spans="1:25" x14ac:dyDescent="0.3">
      <c r="A111" s="20" t="s">
        <v>469</v>
      </c>
      <c r="B111" s="21" t="s">
        <v>9</v>
      </c>
      <c r="C111" s="21" t="s">
        <v>475</v>
      </c>
      <c r="D111" s="3">
        <v>45718</v>
      </c>
      <c r="E111" s="21" t="s">
        <v>289</v>
      </c>
      <c r="F111" s="21" t="s">
        <v>290</v>
      </c>
      <c r="G111" s="21" t="s">
        <v>60</v>
      </c>
      <c r="H111" s="2">
        <v>1</v>
      </c>
      <c r="I111" s="2">
        <v>899</v>
      </c>
      <c r="J111" s="2">
        <v>90</v>
      </c>
      <c r="K111" s="21" t="s">
        <v>97</v>
      </c>
      <c r="L111" s="21" t="s">
        <v>7</v>
      </c>
      <c r="M111" s="21" t="s">
        <v>30</v>
      </c>
      <c r="N111" s="3">
        <v>45685</v>
      </c>
      <c r="O111" s="21" t="s">
        <v>61</v>
      </c>
      <c r="P111" s="21" t="s">
        <v>48</v>
      </c>
      <c r="Q111" s="21" t="s">
        <v>62</v>
      </c>
      <c r="R111" s="2">
        <v>520</v>
      </c>
      <c r="S111" s="2">
        <v>809</v>
      </c>
      <c r="T111" s="2">
        <v>289</v>
      </c>
      <c r="U111" s="4">
        <v>35.723114956736715</v>
      </c>
      <c r="V111" s="21" t="s">
        <v>471</v>
      </c>
      <c r="W111">
        <v>1</v>
      </c>
      <c r="X111">
        <v>10</v>
      </c>
      <c r="Y111" s="20">
        <v>1</v>
      </c>
    </row>
    <row r="112" spans="1:25" x14ac:dyDescent="0.3">
      <c r="A112" s="20" t="s">
        <v>469</v>
      </c>
      <c r="B112" s="21" t="s">
        <v>9</v>
      </c>
      <c r="C112" s="21" t="s">
        <v>476</v>
      </c>
      <c r="D112" s="3">
        <v>45719</v>
      </c>
      <c r="E112" s="21" t="s">
        <v>477</v>
      </c>
      <c r="F112" s="21" t="s">
        <v>478</v>
      </c>
      <c r="G112" s="21" t="s">
        <v>54</v>
      </c>
      <c r="H112" s="2">
        <v>1</v>
      </c>
      <c r="I112" s="2">
        <v>1299</v>
      </c>
      <c r="J112" s="2">
        <v>130</v>
      </c>
      <c r="K112" s="21" t="s">
        <v>97</v>
      </c>
      <c r="L112" s="21" t="s">
        <v>7</v>
      </c>
      <c r="M112" s="21" t="s">
        <v>30</v>
      </c>
      <c r="N112" s="3">
        <v>45713</v>
      </c>
      <c r="O112" s="21" t="s">
        <v>55</v>
      </c>
      <c r="P112" s="21" t="s">
        <v>44</v>
      </c>
      <c r="Q112" s="21" t="s">
        <v>56</v>
      </c>
      <c r="R112" s="2">
        <v>820</v>
      </c>
      <c r="S112" s="2">
        <v>1169</v>
      </c>
      <c r="T112" s="2">
        <v>349</v>
      </c>
      <c r="U112" s="4">
        <v>29.854576561163388</v>
      </c>
      <c r="V112" s="21" t="s">
        <v>471</v>
      </c>
      <c r="W112">
        <v>1</v>
      </c>
      <c r="X112">
        <v>5</v>
      </c>
      <c r="Y112" s="20">
        <v>1</v>
      </c>
    </row>
    <row r="113" spans="1:25" x14ac:dyDescent="0.3">
      <c r="A113" s="20" t="s">
        <v>469</v>
      </c>
      <c r="B113" s="21" t="s">
        <v>9</v>
      </c>
      <c r="C113" s="21" t="s">
        <v>479</v>
      </c>
      <c r="D113" s="3">
        <v>45719</v>
      </c>
      <c r="E113" s="21" t="s">
        <v>23</v>
      </c>
      <c r="F113" s="21" t="s">
        <v>24</v>
      </c>
      <c r="G113" s="21" t="s">
        <v>57</v>
      </c>
      <c r="H113" s="2">
        <v>1</v>
      </c>
      <c r="I113" s="2">
        <v>529</v>
      </c>
      <c r="J113" s="2">
        <v>52.9</v>
      </c>
      <c r="K113" s="21" t="s">
        <v>97</v>
      </c>
      <c r="L113" s="21" t="s">
        <v>7</v>
      </c>
      <c r="M113" s="21" t="s">
        <v>13</v>
      </c>
      <c r="N113" s="3">
        <v>45030</v>
      </c>
      <c r="O113" s="21" t="s">
        <v>58</v>
      </c>
      <c r="P113" s="21" t="s">
        <v>44</v>
      </c>
      <c r="Q113" s="21" t="s">
        <v>59</v>
      </c>
      <c r="R113" s="2">
        <v>260</v>
      </c>
      <c r="S113" s="2">
        <v>476.1</v>
      </c>
      <c r="T113" s="2">
        <v>216.10000000000002</v>
      </c>
      <c r="U113" s="4">
        <v>45.389624028565429</v>
      </c>
      <c r="V113" s="21" t="s">
        <v>471</v>
      </c>
      <c r="W113">
        <v>1</v>
      </c>
      <c r="X113">
        <v>18</v>
      </c>
      <c r="Y113" s="20">
        <v>1</v>
      </c>
    </row>
    <row r="114" spans="1:25" x14ac:dyDescent="0.3">
      <c r="A114" s="20" t="s">
        <v>469</v>
      </c>
      <c r="B114" s="21" t="s">
        <v>9</v>
      </c>
      <c r="C114" s="21" t="s">
        <v>480</v>
      </c>
      <c r="D114" s="3">
        <v>45720</v>
      </c>
      <c r="E114" s="21" t="s">
        <v>15</v>
      </c>
      <c r="F114" s="21" t="s">
        <v>16</v>
      </c>
      <c r="G114" s="21" t="s">
        <v>46</v>
      </c>
      <c r="H114" s="2">
        <v>2</v>
      </c>
      <c r="I114" s="2">
        <v>199</v>
      </c>
      <c r="J114" s="2">
        <v>0</v>
      </c>
      <c r="K114" s="21" t="s">
        <v>97</v>
      </c>
      <c r="L114" s="21" t="s">
        <v>7</v>
      </c>
      <c r="M114" s="21" t="s">
        <v>13</v>
      </c>
      <c r="N114" s="3">
        <v>44883</v>
      </c>
      <c r="O114" s="21" t="s">
        <v>47</v>
      </c>
      <c r="P114" s="21" t="s">
        <v>48</v>
      </c>
      <c r="Q114" s="21" t="s">
        <v>49</v>
      </c>
      <c r="R114" s="2">
        <v>95</v>
      </c>
      <c r="S114" s="2">
        <v>398</v>
      </c>
      <c r="T114" s="2">
        <v>208</v>
      </c>
      <c r="U114" s="4">
        <v>52.261306532663319</v>
      </c>
      <c r="V114" s="21" t="s">
        <v>471</v>
      </c>
      <c r="W114">
        <v>1</v>
      </c>
      <c r="X114">
        <v>32</v>
      </c>
      <c r="Y114" s="20">
        <v>1</v>
      </c>
    </row>
    <row r="115" spans="1:25" x14ac:dyDescent="0.3">
      <c r="A115" s="20" t="s">
        <v>469</v>
      </c>
      <c r="B115" s="21" t="s">
        <v>9</v>
      </c>
      <c r="C115" s="21" t="s">
        <v>481</v>
      </c>
      <c r="D115" s="3">
        <v>45720</v>
      </c>
      <c r="E115" s="21" t="s">
        <v>101</v>
      </c>
      <c r="F115" s="21" t="s">
        <v>482</v>
      </c>
      <c r="G115" s="21" t="s">
        <v>63</v>
      </c>
      <c r="H115" s="2">
        <v>4</v>
      </c>
      <c r="I115" s="2">
        <v>29</v>
      </c>
      <c r="J115" s="2">
        <v>0</v>
      </c>
      <c r="K115" s="21" t="s">
        <v>97</v>
      </c>
      <c r="L115" s="21" t="s">
        <v>265</v>
      </c>
      <c r="M115" s="21" t="s">
        <v>101</v>
      </c>
      <c r="N115" s="3"/>
      <c r="O115" s="21" t="s">
        <v>64</v>
      </c>
      <c r="P115" s="21" t="s">
        <v>52</v>
      </c>
      <c r="Q115" s="21" t="s">
        <v>62</v>
      </c>
      <c r="R115" s="2">
        <v>11</v>
      </c>
      <c r="S115" s="2">
        <v>116</v>
      </c>
      <c r="T115" s="2">
        <v>72</v>
      </c>
      <c r="U115" s="4">
        <v>62.068965517241381</v>
      </c>
      <c r="V115" s="21" t="s">
        <v>471</v>
      </c>
      <c r="W115">
        <v>1</v>
      </c>
      <c r="X115"/>
      <c r="Y115" s="20"/>
    </row>
    <row r="116" spans="1:25" x14ac:dyDescent="0.3">
      <c r="A116" s="20" t="s">
        <v>469</v>
      </c>
      <c r="B116" s="21" t="s">
        <v>9</v>
      </c>
      <c r="C116" s="21" t="s">
        <v>483</v>
      </c>
      <c r="D116" s="3">
        <v>45721</v>
      </c>
      <c r="E116" s="21" t="s">
        <v>18</v>
      </c>
      <c r="F116" s="21" t="s">
        <v>19</v>
      </c>
      <c r="G116" s="21" t="s">
        <v>65</v>
      </c>
      <c r="H116" s="2">
        <v>1</v>
      </c>
      <c r="I116" s="2">
        <v>749</v>
      </c>
      <c r="J116" s="2">
        <v>75</v>
      </c>
      <c r="K116" s="21" t="s">
        <v>97</v>
      </c>
      <c r="L116" s="21" t="s">
        <v>20</v>
      </c>
      <c r="M116" s="21" t="s">
        <v>13</v>
      </c>
      <c r="N116" s="3">
        <v>44931</v>
      </c>
      <c r="O116" s="21" t="s">
        <v>66</v>
      </c>
      <c r="P116" s="21" t="s">
        <v>44</v>
      </c>
      <c r="Q116" s="21" t="s">
        <v>67</v>
      </c>
      <c r="R116" s="2">
        <v>490</v>
      </c>
      <c r="S116" s="2">
        <v>674</v>
      </c>
      <c r="T116" s="2">
        <v>184</v>
      </c>
      <c r="U116" s="4">
        <v>27.299703264094955</v>
      </c>
      <c r="V116" s="21" t="s">
        <v>471</v>
      </c>
      <c r="W116">
        <v>1</v>
      </c>
      <c r="X116">
        <v>35</v>
      </c>
      <c r="Y116" s="20">
        <v>1</v>
      </c>
    </row>
    <row r="117" spans="1:25" x14ac:dyDescent="0.3">
      <c r="A117" s="20" t="s">
        <v>469</v>
      </c>
      <c r="B117" s="21" t="s">
        <v>9</v>
      </c>
      <c r="C117" s="21" t="s">
        <v>484</v>
      </c>
      <c r="D117" s="3">
        <v>45721</v>
      </c>
      <c r="E117" s="21" t="s">
        <v>25</v>
      </c>
      <c r="F117" s="21" t="s">
        <v>26</v>
      </c>
      <c r="G117" s="21" t="s">
        <v>68</v>
      </c>
      <c r="H117" s="2">
        <v>2</v>
      </c>
      <c r="I117" s="2">
        <v>229</v>
      </c>
      <c r="J117" s="2">
        <v>22.9</v>
      </c>
      <c r="K117" s="21" t="s">
        <v>97</v>
      </c>
      <c r="L117" s="21" t="s">
        <v>27</v>
      </c>
      <c r="M117" s="21" t="s">
        <v>13</v>
      </c>
      <c r="N117" s="3">
        <v>45168</v>
      </c>
      <c r="O117" s="21" t="s">
        <v>69</v>
      </c>
      <c r="P117" s="21" t="s">
        <v>44</v>
      </c>
      <c r="Q117" s="21" t="s">
        <v>70</v>
      </c>
      <c r="R117" s="2">
        <v>110</v>
      </c>
      <c r="S117" s="2">
        <v>435.1</v>
      </c>
      <c r="T117" s="2">
        <v>215.10000000000002</v>
      </c>
      <c r="U117" s="4">
        <v>49.436911054929908</v>
      </c>
      <c r="V117" s="21" t="s">
        <v>471</v>
      </c>
      <c r="W117">
        <v>1</v>
      </c>
      <c r="X117">
        <v>46</v>
      </c>
      <c r="Y117" s="20">
        <v>1</v>
      </c>
    </row>
    <row r="118" spans="1:25" x14ac:dyDescent="0.3">
      <c r="A118" s="20" t="s">
        <v>469</v>
      </c>
      <c r="B118" s="21" t="s">
        <v>9</v>
      </c>
      <c r="C118" s="21" t="s">
        <v>485</v>
      </c>
      <c r="D118" s="3">
        <v>45722</v>
      </c>
      <c r="E118" s="21" t="s">
        <v>477</v>
      </c>
      <c r="F118" s="21" t="s">
        <v>478</v>
      </c>
      <c r="G118" s="21" t="s">
        <v>71</v>
      </c>
      <c r="H118" s="2">
        <v>1</v>
      </c>
      <c r="I118" s="2">
        <v>459</v>
      </c>
      <c r="J118" s="2">
        <v>46</v>
      </c>
      <c r="K118" s="21" t="s">
        <v>97</v>
      </c>
      <c r="L118" s="21" t="s">
        <v>7</v>
      </c>
      <c r="M118" s="21" t="s">
        <v>30</v>
      </c>
      <c r="N118" s="3">
        <v>45713</v>
      </c>
      <c r="O118" s="21" t="s">
        <v>72</v>
      </c>
      <c r="P118" s="21" t="s">
        <v>48</v>
      </c>
      <c r="Q118" s="21" t="s">
        <v>49</v>
      </c>
      <c r="R118" s="2">
        <v>210</v>
      </c>
      <c r="S118" s="2">
        <v>413</v>
      </c>
      <c r="T118" s="2">
        <v>203</v>
      </c>
      <c r="U118" s="4">
        <v>49.152542372881356</v>
      </c>
      <c r="V118" s="21" t="s">
        <v>471</v>
      </c>
      <c r="W118">
        <v>1</v>
      </c>
      <c r="X118">
        <v>5</v>
      </c>
      <c r="Y118" s="20">
        <v>1</v>
      </c>
    </row>
    <row r="119" spans="1:25" x14ac:dyDescent="0.3">
      <c r="A119" s="20" t="s">
        <v>469</v>
      </c>
      <c r="B119" s="21" t="s">
        <v>9</v>
      </c>
      <c r="C119" s="21" t="s">
        <v>486</v>
      </c>
      <c r="D119" s="3">
        <v>45722</v>
      </c>
      <c r="E119" s="21" t="s">
        <v>5</v>
      </c>
      <c r="F119" s="21" t="s">
        <v>6</v>
      </c>
      <c r="G119" s="21" t="s">
        <v>73</v>
      </c>
      <c r="H119" s="2">
        <v>5</v>
      </c>
      <c r="I119" s="2">
        <v>19</v>
      </c>
      <c r="J119" s="2">
        <v>0</v>
      </c>
      <c r="K119" s="21" t="s">
        <v>97</v>
      </c>
      <c r="L119" s="21" t="s">
        <v>7</v>
      </c>
      <c r="M119" s="21" t="s">
        <v>8</v>
      </c>
      <c r="N119" s="3">
        <v>44635</v>
      </c>
      <c r="O119" s="21" t="s">
        <v>74</v>
      </c>
      <c r="P119" s="21" t="s">
        <v>52</v>
      </c>
      <c r="Q119" s="21" t="s">
        <v>62</v>
      </c>
      <c r="R119" s="2">
        <v>8</v>
      </c>
      <c r="S119" s="2">
        <v>95</v>
      </c>
      <c r="T119" s="2">
        <v>55</v>
      </c>
      <c r="U119" s="4">
        <v>57.894736842105267</v>
      </c>
      <c r="V119" s="21" t="s">
        <v>471</v>
      </c>
      <c r="W119">
        <v>1</v>
      </c>
      <c r="X119">
        <v>52</v>
      </c>
      <c r="Y119" s="20">
        <v>1</v>
      </c>
    </row>
    <row r="120" spans="1:25" x14ac:dyDescent="0.3">
      <c r="A120" s="20" t="s">
        <v>469</v>
      </c>
      <c r="B120" s="21" t="s">
        <v>9</v>
      </c>
      <c r="C120" s="21" t="s">
        <v>487</v>
      </c>
      <c r="D120" s="3">
        <v>45723</v>
      </c>
      <c r="E120" s="21" t="s">
        <v>101</v>
      </c>
      <c r="F120" s="21" t="s">
        <v>488</v>
      </c>
      <c r="G120" s="21" t="s">
        <v>75</v>
      </c>
      <c r="H120" s="2">
        <v>1</v>
      </c>
      <c r="I120" s="2">
        <v>599</v>
      </c>
      <c r="J120" s="2">
        <v>60</v>
      </c>
      <c r="K120" s="21" t="s">
        <v>97</v>
      </c>
      <c r="L120" s="21" t="s">
        <v>265</v>
      </c>
      <c r="M120" s="21" t="s">
        <v>101</v>
      </c>
      <c r="N120" s="3"/>
      <c r="O120" s="21" t="s">
        <v>76</v>
      </c>
      <c r="P120" s="21" t="s">
        <v>44</v>
      </c>
      <c r="Q120" s="21" t="s">
        <v>59</v>
      </c>
      <c r="R120" s="2">
        <v>350</v>
      </c>
      <c r="S120" s="2">
        <v>539</v>
      </c>
      <c r="T120" s="2">
        <v>189</v>
      </c>
      <c r="U120" s="4">
        <v>35.064935064935064</v>
      </c>
      <c r="V120" s="21" t="s">
        <v>471</v>
      </c>
      <c r="W120">
        <v>1</v>
      </c>
      <c r="X120"/>
      <c r="Y120" s="20"/>
    </row>
    <row r="121" spans="1:25" x14ac:dyDescent="0.3">
      <c r="A121" s="20" t="s">
        <v>469</v>
      </c>
      <c r="B121" s="21" t="s">
        <v>9</v>
      </c>
      <c r="C121" s="21" t="s">
        <v>489</v>
      </c>
      <c r="D121" s="3">
        <v>45723</v>
      </c>
      <c r="E121" s="21" t="s">
        <v>21</v>
      </c>
      <c r="F121" s="21" t="s">
        <v>22</v>
      </c>
      <c r="G121" s="21" t="s">
        <v>79</v>
      </c>
      <c r="H121" s="2">
        <v>1</v>
      </c>
      <c r="I121" s="2">
        <v>189</v>
      </c>
      <c r="J121" s="2">
        <v>19</v>
      </c>
      <c r="K121" s="21" t="s">
        <v>97</v>
      </c>
      <c r="L121" s="21" t="s">
        <v>7</v>
      </c>
      <c r="M121" s="21" t="s">
        <v>8</v>
      </c>
      <c r="N121" s="3">
        <v>44948</v>
      </c>
      <c r="O121" s="21" t="s">
        <v>80</v>
      </c>
      <c r="P121" s="21" t="s">
        <v>44</v>
      </c>
      <c r="Q121" s="21" t="s">
        <v>70</v>
      </c>
      <c r="R121" s="2">
        <v>95</v>
      </c>
      <c r="S121" s="2">
        <v>170</v>
      </c>
      <c r="T121" s="2">
        <v>75</v>
      </c>
      <c r="U121" s="4">
        <v>44.117647058823529</v>
      </c>
      <c r="V121" s="21" t="s">
        <v>471</v>
      </c>
      <c r="W121">
        <v>1</v>
      </c>
      <c r="X121">
        <v>32</v>
      </c>
      <c r="Y121" s="20">
        <v>1</v>
      </c>
    </row>
    <row r="122" spans="1:25" x14ac:dyDescent="0.3">
      <c r="A122" s="20" t="s">
        <v>469</v>
      </c>
      <c r="B122" s="21" t="s">
        <v>9</v>
      </c>
      <c r="C122" s="21" t="s">
        <v>490</v>
      </c>
      <c r="D122" s="3">
        <v>45724</v>
      </c>
      <c r="E122" s="21" t="s">
        <v>10</v>
      </c>
      <c r="F122" s="21" t="s">
        <v>11</v>
      </c>
      <c r="G122" s="21" t="s">
        <v>77</v>
      </c>
      <c r="H122" s="2">
        <v>1</v>
      </c>
      <c r="I122" s="2">
        <v>1099</v>
      </c>
      <c r="J122" s="2">
        <v>110</v>
      </c>
      <c r="K122" s="21" t="s">
        <v>97</v>
      </c>
      <c r="L122" s="21" t="s">
        <v>12</v>
      </c>
      <c r="M122" s="21" t="s">
        <v>13</v>
      </c>
      <c r="N122" s="3">
        <v>44744</v>
      </c>
      <c r="O122" s="21" t="s">
        <v>78</v>
      </c>
      <c r="P122" s="21" t="s">
        <v>48</v>
      </c>
      <c r="Q122" s="21" t="s">
        <v>62</v>
      </c>
      <c r="R122" s="2">
        <v>650</v>
      </c>
      <c r="S122" s="2">
        <v>989</v>
      </c>
      <c r="T122" s="2">
        <v>339</v>
      </c>
      <c r="U122" s="4">
        <v>34.277047522750252</v>
      </c>
      <c r="V122" s="21" t="s">
        <v>471</v>
      </c>
      <c r="W122">
        <v>1</v>
      </c>
      <c r="X122">
        <v>32</v>
      </c>
      <c r="Y122" s="20">
        <v>1</v>
      </c>
    </row>
    <row r="123" spans="1:25" x14ac:dyDescent="0.3">
      <c r="A123" s="20" t="s">
        <v>469</v>
      </c>
      <c r="B123" s="21" t="s">
        <v>9</v>
      </c>
      <c r="C123" s="21" t="s">
        <v>491</v>
      </c>
      <c r="D123" s="3">
        <v>45724</v>
      </c>
      <c r="E123" s="21" t="s">
        <v>303</v>
      </c>
      <c r="F123" s="21" t="s">
        <v>304</v>
      </c>
      <c r="G123" s="21" t="s">
        <v>81</v>
      </c>
      <c r="H123" s="2">
        <v>2</v>
      </c>
      <c r="I123" s="2">
        <v>89</v>
      </c>
      <c r="J123" s="2">
        <v>0</v>
      </c>
      <c r="K123" s="21" t="s">
        <v>97</v>
      </c>
      <c r="L123" s="21" t="s">
        <v>7</v>
      </c>
      <c r="M123" s="21" t="s">
        <v>30</v>
      </c>
      <c r="N123" s="3">
        <v>45687</v>
      </c>
      <c r="O123" s="21" t="s">
        <v>82</v>
      </c>
      <c r="P123" s="21" t="s">
        <v>52</v>
      </c>
      <c r="Q123" s="21" t="s">
        <v>83</v>
      </c>
      <c r="R123" s="2">
        <v>42</v>
      </c>
      <c r="S123" s="2">
        <v>178</v>
      </c>
      <c r="T123" s="2">
        <v>94</v>
      </c>
      <c r="U123" s="4">
        <v>52.80898876404494</v>
      </c>
      <c r="V123" s="21" t="s">
        <v>471</v>
      </c>
      <c r="W123">
        <v>1</v>
      </c>
      <c r="X123">
        <v>10</v>
      </c>
      <c r="Y123" s="20">
        <v>1</v>
      </c>
    </row>
    <row r="124" spans="1:25" x14ac:dyDescent="0.3">
      <c r="A124" s="20" t="s">
        <v>469</v>
      </c>
      <c r="B124" s="21" t="s">
        <v>9</v>
      </c>
      <c r="C124" s="21" t="s">
        <v>492</v>
      </c>
      <c r="D124" s="3">
        <v>45725</v>
      </c>
      <c r="E124" s="21" t="s">
        <v>33</v>
      </c>
      <c r="F124" s="21" t="s">
        <v>34</v>
      </c>
      <c r="G124" s="21" t="s">
        <v>42</v>
      </c>
      <c r="H124" s="2">
        <v>1</v>
      </c>
      <c r="I124" s="2">
        <v>349</v>
      </c>
      <c r="J124" s="2">
        <v>34.9</v>
      </c>
      <c r="K124" s="21" t="s">
        <v>97</v>
      </c>
      <c r="L124" s="21" t="s">
        <v>7</v>
      </c>
      <c r="M124" s="21" t="s">
        <v>30</v>
      </c>
      <c r="N124" s="3">
        <v>45279</v>
      </c>
      <c r="O124" s="21" t="s">
        <v>43</v>
      </c>
      <c r="P124" s="21" t="s">
        <v>44</v>
      </c>
      <c r="Q124" s="21" t="s">
        <v>45</v>
      </c>
      <c r="R124" s="2">
        <v>165</v>
      </c>
      <c r="S124" s="2">
        <v>314.10000000000002</v>
      </c>
      <c r="T124" s="2">
        <v>149.10000000000002</v>
      </c>
      <c r="U124" s="4">
        <v>47.468958930276983</v>
      </c>
      <c r="V124" s="21" t="s">
        <v>471</v>
      </c>
      <c r="W124">
        <v>1</v>
      </c>
      <c r="X124">
        <v>8</v>
      </c>
      <c r="Y124" s="20">
        <v>1</v>
      </c>
    </row>
    <row r="125" spans="1:25" x14ac:dyDescent="0.3">
      <c r="A125" s="20" t="s">
        <v>469</v>
      </c>
      <c r="B125" s="21" t="s">
        <v>9</v>
      </c>
      <c r="C125" s="21" t="s">
        <v>493</v>
      </c>
      <c r="D125" s="3">
        <v>45726</v>
      </c>
      <c r="E125" s="21" t="s">
        <v>101</v>
      </c>
      <c r="F125" s="21" t="s">
        <v>494</v>
      </c>
      <c r="G125" s="21" t="s">
        <v>60</v>
      </c>
      <c r="H125" s="2">
        <v>1</v>
      </c>
      <c r="I125" s="2">
        <v>899</v>
      </c>
      <c r="J125" s="2">
        <v>0</v>
      </c>
      <c r="K125" s="21" t="s">
        <v>97</v>
      </c>
      <c r="L125" s="21" t="s">
        <v>265</v>
      </c>
      <c r="M125" s="21" t="s">
        <v>101</v>
      </c>
      <c r="N125" s="3"/>
      <c r="O125" s="21" t="s">
        <v>61</v>
      </c>
      <c r="P125" s="21" t="s">
        <v>48</v>
      </c>
      <c r="Q125" s="21" t="s">
        <v>62</v>
      </c>
      <c r="R125" s="2">
        <v>520</v>
      </c>
      <c r="S125" s="2">
        <v>899</v>
      </c>
      <c r="T125" s="2">
        <v>379</v>
      </c>
      <c r="U125" s="4">
        <v>42.157953281423808</v>
      </c>
      <c r="V125" s="21" t="s">
        <v>471</v>
      </c>
      <c r="W125">
        <v>1</v>
      </c>
      <c r="X125"/>
      <c r="Y125" s="20"/>
    </row>
    <row r="126" spans="1:25" x14ac:dyDescent="0.3">
      <c r="A126" s="20" t="s">
        <v>469</v>
      </c>
      <c r="B126" s="21" t="s">
        <v>9</v>
      </c>
      <c r="C126" s="21" t="s">
        <v>495</v>
      </c>
      <c r="D126" s="3">
        <v>45726</v>
      </c>
      <c r="E126" s="21" t="s">
        <v>25</v>
      </c>
      <c r="F126" s="21" t="s">
        <v>26</v>
      </c>
      <c r="G126" s="21" t="s">
        <v>50</v>
      </c>
      <c r="H126" s="2">
        <v>4</v>
      </c>
      <c r="I126" s="2">
        <v>45</v>
      </c>
      <c r="J126" s="2">
        <v>0</v>
      </c>
      <c r="K126" s="21" t="s">
        <v>97</v>
      </c>
      <c r="L126" s="21" t="s">
        <v>27</v>
      </c>
      <c r="M126" s="21" t="s">
        <v>13</v>
      </c>
      <c r="N126" s="3">
        <v>45168</v>
      </c>
      <c r="O126" s="21" t="s">
        <v>51</v>
      </c>
      <c r="P126" s="21" t="s">
        <v>52</v>
      </c>
      <c r="Q126" s="21" t="s">
        <v>53</v>
      </c>
      <c r="R126" s="2">
        <v>18</v>
      </c>
      <c r="S126" s="2">
        <v>180</v>
      </c>
      <c r="T126" s="2">
        <v>108</v>
      </c>
      <c r="U126" s="4">
        <v>60</v>
      </c>
      <c r="V126" s="21" t="s">
        <v>471</v>
      </c>
      <c r="W126">
        <v>1</v>
      </c>
      <c r="X126">
        <v>46</v>
      </c>
      <c r="Y126" s="20">
        <v>1</v>
      </c>
    </row>
    <row r="127" spans="1:25" x14ac:dyDescent="0.3">
      <c r="A127" s="20" t="s">
        <v>469</v>
      </c>
      <c r="B127" s="21" t="s">
        <v>9</v>
      </c>
      <c r="C127" s="21" t="s">
        <v>496</v>
      </c>
      <c r="D127" s="3">
        <v>45727</v>
      </c>
      <c r="E127" s="21" t="s">
        <v>289</v>
      </c>
      <c r="F127" s="21" t="s">
        <v>290</v>
      </c>
      <c r="G127" s="21" t="s">
        <v>65</v>
      </c>
      <c r="H127" s="2">
        <v>2</v>
      </c>
      <c r="I127" s="2">
        <v>749</v>
      </c>
      <c r="J127" s="2">
        <v>75</v>
      </c>
      <c r="K127" s="21" t="s">
        <v>97</v>
      </c>
      <c r="L127" s="21" t="s">
        <v>7</v>
      </c>
      <c r="M127" s="21" t="s">
        <v>30</v>
      </c>
      <c r="N127" s="3">
        <v>45685</v>
      </c>
      <c r="O127" s="21" t="s">
        <v>66</v>
      </c>
      <c r="P127" s="21" t="s">
        <v>44</v>
      </c>
      <c r="Q127" s="21" t="s">
        <v>67</v>
      </c>
      <c r="R127" s="2">
        <v>490</v>
      </c>
      <c r="S127" s="2">
        <v>1423</v>
      </c>
      <c r="T127" s="2">
        <v>443</v>
      </c>
      <c r="U127" s="4">
        <v>31.131412508784255</v>
      </c>
      <c r="V127" s="21" t="s">
        <v>471</v>
      </c>
      <c r="W127">
        <v>1</v>
      </c>
      <c r="X127">
        <v>10</v>
      </c>
      <c r="Y127" s="20">
        <v>1</v>
      </c>
    </row>
    <row r="128" spans="1:25" x14ac:dyDescent="0.3">
      <c r="A128" s="20" t="s">
        <v>469</v>
      </c>
      <c r="B128" s="21" t="s">
        <v>9</v>
      </c>
      <c r="C128" s="21" t="s">
        <v>497</v>
      </c>
      <c r="D128" s="3">
        <v>45727</v>
      </c>
      <c r="E128" s="21" t="s">
        <v>18</v>
      </c>
      <c r="F128" s="21" t="s">
        <v>19</v>
      </c>
      <c r="G128" s="21" t="s">
        <v>57</v>
      </c>
      <c r="H128" s="2">
        <v>1</v>
      </c>
      <c r="I128" s="2">
        <v>529</v>
      </c>
      <c r="J128" s="2">
        <v>0</v>
      </c>
      <c r="K128" s="21" t="s">
        <v>97</v>
      </c>
      <c r="L128" s="21" t="s">
        <v>20</v>
      </c>
      <c r="M128" s="21" t="s">
        <v>13</v>
      </c>
      <c r="N128" s="3">
        <v>44931</v>
      </c>
      <c r="O128" s="21" t="s">
        <v>58</v>
      </c>
      <c r="P128" s="21" t="s">
        <v>44</v>
      </c>
      <c r="Q128" s="21" t="s">
        <v>59</v>
      </c>
      <c r="R128" s="2">
        <v>260</v>
      </c>
      <c r="S128" s="2">
        <v>529</v>
      </c>
      <c r="T128" s="2">
        <v>269</v>
      </c>
      <c r="U128" s="4">
        <v>50.850661625708881</v>
      </c>
      <c r="V128" s="21" t="s">
        <v>471</v>
      </c>
      <c r="W128">
        <v>1</v>
      </c>
      <c r="X128">
        <v>35</v>
      </c>
      <c r="Y128" s="20">
        <v>1</v>
      </c>
    </row>
    <row r="129" spans="1:25" x14ac:dyDescent="0.3">
      <c r="A129" s="20" t="s">
        <v>469</v>
      </c>
      <c r="B129" s="21" t="s">
        <v>9</v>
      </c>
      <c r="C129" s="21" t="s">
        <v>498</v>
      </c>
      <c r="D129" s="3">
        <v>45728</v>
      </c>
      <c r="E129" s="21" t="s">
        <v>303</v>
      </c>
      <c r="F129" s="21" t="s">
        <v>304</v>
      </c>
      <c r="G129" s="21" t="s">
        <v>46</v>
      </c>
      <c r="H129" s="2">
        <v>3</v>
      </c>
      <c r="I129" s="2">
        <v>199</v>
      </c>
      <c r="J129" s="2">
        <v>30</v>
      </c>
      <c r="K129" s="21" t="s">
        <v>97</v>
      </c>
      <c r="L129" s="21" t="s">
        <v>7</v>
      </c>
      <c r="M129" s="21" t="s">
        <v>30</v>
      </c>
      <c r="N129" s="3">
        <v>45687</v>
      </c>
      <c r="O129" s="21" t="s">
        <v>47</v>
      </c>
      <c r="P129" s="21" t="s">
        <v>48</v>
      </c>
      <c r="Q129" s="21" t="s">
        <v>49</v>
      </c>
      <c r="R129" s="2">
        <v>95</v>
      </c>
      <c r="S129" s="2">
        <v>567</v>
      </c>
      <c r="T129" s="2">
        <v>282</v>
      </c>
      <c r="U129" s="4">
        <v>49.735449735449734</v>
      </c>
      <c r="V129" s="21" t="s">
        <v>471</v>
      </c>
      <c r="W129">
        <v>1</v>
      </c>
      <c r="X129">
        <v>10</v>
      </c>
      <c r="Y129" s="20">
        <v>1</v>
      </c>
    </row>
    <row r="130" spans="1:25" x14ac:dyDescent="0.3">
      <c r="A130" s="20" t="s">
        <v>469</v>
      </c>
      <c r="B130" s="21" t="s">
        <v>9</v>
      </c>
      <c r="C130" s="21" t="s">
        <v>499</v>
      </c>
      <c r="D130" s="3">
        <v>45728</v>
      </c>
      <c r="E130" s="21" t="s">
        <v>101</v>
      </c>
      <c r="F130" s="21" t="s">
        <v>500</v>
      </c>
      <c r="G130" s="21" t="s">
        <v>63</v>
      </c>
      <c r="H130" s="2">
        <v>2</v>
      </c>
      <c r="I130" s="2">
        <v>29</v>
      </c>
      <c r="J130" s="2">
        <v>0</v>
      </c>
      <c r="K130" s="21" t="s">
        <v>97</v>
      </c>
      <c r="L130" s="21" t="s">
        <v>265</v>
      </c>
      <c r="M130" s="21" t="s">
        <v>101</v>
      </c>
      <c r="N130" s="3"/>
      <c r="O130" s="21" t="s">
        <v>64</v>
      </c>
      <c r="P130" s="21" t="s">
        <v>52</v>
      </c>
      <c r="Q130" s="21" t="s">
        <v>62</v>
      </c>
      <c r="R130" s="2">
        <v>11</v>
      </c>
      <c r="S130" s="2">
        <v>58</v>
      </c>
      <c r="T130" s="2">
        <v>36</v>
      </c>
      <c r="U130" s="4">
        <v>62.068965517241381</v>
      </c>
      <c r="V130" s="21" t="s">
        <v>471</v>
      </c>
      <c r="W130">
        <v>1</v>
      </c>
      <c r="X130"/>
      <c r="Y130" s="20"/>
    </row>
    <row r="131" spans="1:25" x14ac:dyDescent="0.3">
      <c r="A131" s="20" t="s">
        <v>469</v>
      </c>
      <c r="B131" s="21" t="s">
        <v>9</v>
      </c>
      <c r="C131" s="21" t="s">
        <v>501</v>
      </c>
      <c r="D131" s="3">
        <v>45729</v>
      </c>
      <c r="E131" s="21" t="s">
        <v>5</v>
      </c>
      <c r="F131" s="21" t="s">
        <v>6</v>
      </c>
      <c r="G131" s="21" t="s">
        <v>84</v>
      </c>
      <c r="H131" s="2">
        <v>1</v>
      </c>
      <c r="I131" s="2">
        <v>2199</v>
      </c>
      <c r="J131" s="2">
        <v>220</v>
      </c>
      <c r="K131" s="21" t="s">
        <v>97</v>
      </c>
      <c r="L131" s="21" t="s">
        <v>7</v>
      </c>
      <c r="M131" s="21" t="s">
        <v>8</v>
      </c>
      <c r="N131" s="3">
        <v>44635</v>
      </c>
      <c r="O131" s="21" t="s">
        <v>85</v>
      </c>
      <c r="P131" s="21" t="s">
        <v>44</v>
      </c>
      <c r="Q131" s="21" t="s">
        <v>56</v>
      </c>
      <c r="R131" s="2">
        <v>1380</v>
      </c>
      <c r="S131" s="2">
        <v>1979</v>
      </c>
      <c r="T131" s="2">
        <v>599</v>
      </c>
      <c r="U131" s="4">
        <v>30.267812026275898</v>
      </c>
      <c r="V131" s="21" t="s">
        <v>471</v>
      </c>
      <c r="W131">
        <v>1</v>
      </c>
      <c r="X131">
        <v>52</v>
      </c>
      <c r="Y131" s="20">
        <v>1</v>
      </c>
    </row>
    <row r="132" spans="1:25" x14ac:dyDescent="0.3">
      <c r="A132" s="20" t="s">
        <v>469</v>
      </c>
      <c r="B132" s="21" t="s">
        <v>9</v>
      </c>
      <c r="C132" s="21" t="s">
        <v>502</v>
      </c>
      <c r="D132" s="3">
        <v>45729</v>
      </c>
      <c r="E132" s="21" t="s">
        <v>21</v>
      </c>
      <c r="F132" s="21" t="s">
        <v>22</v>
      </c>
      <c r="G132" s="21" t="s">
        <v>68</v>
      </c>
      <c r="H132" s="2">
        <v>1</v>
      </c>
      <c r="I132" s="2">
        <v>229</v>
      </c>
      <c r="J132" s="2">
        <v>22.9</v>
      </c>
      <c r="K132" s="21" t="s">
        <v>97</v>
      </c>
      <c r="L132" s="21" t="s">
        <v>7</v>
      </c>
      <c r="M132" s="21" t="s">
        <v>8</v>
      </c>
      <c r="N132" s="3">
        <v>44948</v>
      </c>
      <c r="O132" s="21" t="s">
        <v>69</v>
      </c>
      <c r="P132" s="21" t="s">
        <v>44</v>
      </c>
      <c r="Q132" s="21" t="s">
        <v>70</v>
      </c>
      <c r="R132" s="2">
        <v>110</v>
      </c>
      <c r="S132" s="2">
        <v>206.1</v>
      </c>
      <c r="T132" s="2">
        <v>96.1</v>
      </c>
      <c r="U132" s="4">
        <v>46.62785055798156</v>
      </c>
      <c r="V132" s="21" t="s">
        <v>471</v>
      </c>
      <c r="W132">
        <v>1</v>
      </c>
      <c r="X132">
        <v>32</v>
      </c>
      <c r="Y132" s="20">
        <v>1</v>
      </c>
    </row>
    <row r="133" spans="1:25" x14ac:dyDescent="0.3">
      <c r="A133" s="20" t="s">
        <v>469</v>
      </c>
      <c r="B133" s="21" t="s">
        <v>9</v>
      </c>
      <c r="C133" s="21" t="s">
        <v>503</v>
      </c>
      <c r="D133" s="3">
        <v>45730</v>
      </c>
      <c r="E133" s="21" t="s">
        <v>10</v>
      </c>
      <c r="F133" s="21" t="s">
        <v>11</v>
      </c>
      <c r="G133" s="21" t="s">
        <v>71</v>
      </c>
      <c r="H133" s="2">
        <v>1</v>
      </c>
      <c r="I133" s="2">
        <v>459</v>
      </c>
      <c r="J133" s="2">
        <v>46</v>
      </c>
      <c r="K133" s="21" t="s">
        <v>97</v>
      </c>
      <c r="L133" s="21" t="s">
        <v>12</v>
      </c>
      <c r="M133" s="21" t="s">
        <v>13</v>
      </c>
      <c r="N133" s="3">
        <v>44744</v>
      </c>
      <c r="O133" s="21" t="s">
        <v>72</v>
      </c>
      <c r="P133" s="21" t="s">
        <v>48</v>
      </c>
      <c r="Q133" s="21" t="s">
        <v>49</v>
      </c>
      <c r="R133" s="2">
        <v>210</v>
      </c>
      <c r="S133" s="2">
        <v>413</v>
      </c>
      <c r="T133" s="2">
        <v>203</v>
      </c>
      <c r="U133" s="4">
        <v>49.152542372881356</v>
      </c>
      <c r="V133" s="21" t="s">
        <v>471</v>
      </c>
      <c r="W133">
        <v>1</v>
      </c>
      <c r="X133">
        <v>32</v>
      </c>
      <c r="Y133" s="20">
        <v>1</v>
      </c>
    </row>
    <row r="134" spans="1:25" x14ac:dyDescent="0.3">
      <c r="A134" s="20" t="s">
        <v>469</v>
      </c>
      <c r="B134" s="21" t="s">
        <v>9</v>
      </c>
      <c r="C134" s="21" t="s">
        <v>504</v>
      </c>
      <c r="D134" s="3">
        <v>45730</v>
      </c>
      <c r="E134" s="21" t="s">
        <v>101</v>
      </c>
      <c r="F134" s="21" t="s">
        <v>505</v>
      </c>
      <c r="G134" s="21" t="s">
        <v>73</v>
      </c>
      <c r="H134" s="2">
        <v>3</v>
      </c>
      <c r="I134" s="2">
        <v>19</v>
      </c>
      <c r="J134" s="2">
        <v>0</v>
      </c>
      <c r="K134" s="21" t="s">
        <v>97</v>
      </c>
      <c r="L134" s="21" t="s">
        <v>265</v>
      </c>
      <c r="M134" s="21" t="s">
        <v>101</v>
      </c>
      <c r="N134" s="3"/>
      <c r="O134" s="21" t="s">
        <v>74</v>
      </c>
      <c r="P134" s="21" t="s">
        <v>52</v>
      </c>
      <c r="Q134" s="21" t="s">
        <v>62</v>
      </c>
      <c r="R134" s="2">
        <v>8</v>
      </c>
      <c r="S134" s="2">
        <v>57</v>
      </c>
      <c r="T134" s="2">
        <v>33</v>
      </c>
      <c r="U134" s="4">
        <v>57.894736842105267</v>
      </c>
      <c r="V134" s="21" t="s">
        <v>471</v>
      </c>
      <c r="W134">
        <v>1</v>
      </c>
      <c r="X134"/>
      <c r="Y134" s="20"/>
    </row>
    <row r="135" spans="1:25" x14ac:dyDescent="0.3">
      <c r="A135" s="20" t="s">
        <v>469</v>
      </c>
      <c r="B135" s="21" t="s">
        <v>9</v>
      </c>
      <c r="C135" s="21" t="s">
        <v>506</v>
      </c>
      <c r="D135" s="3">
        <v>45731</v>
      </c>
      <c r="E135" s="21" t="s">
        <v>23</v>
      </c>
      <c r="F135" s="21" t="s">
        <v>24</v>
      </c>
      <c r="G135" s="21" t="s">
        <v>75</v>
      </c>
      <c r="H135" s="2">
        <v>1</v>
      </c>
      <c r="I135" s="2">
        <v>599</v>
      </c>
      <c r="J135" s="2">
        <v>0</v>
      </c>
      <c r="K135" s="21" t="s">
        <v>97</v>
      </c>
      <c r="L135" s="21" t="s">
        <v>7</v>
      </c>
      <c r="M135" s="21" t="s">
        <v>13</v>
      </c>
      <c r="N135" s="3">
        <v>45030</v>
      </c>
      <c r="O135" s="21" t="s">
        <v>76</v>
      </c>
      <c r="P135" s="21" t="s">
        <v>44</v>
      </c>
      <c r="Q135" s="21" t="s">
        <v>59</v>
      </c>
      <c r="R135" s="2">
        <v>350</v>
      </c>
      <c r="S135" s="2">
        <v>599</v>
      </c>
      <c r="T135" s="2">
        <v>249</v>
      </c>
      <c r="U135" s="4">
        <v>41.569282136894827</v>
      </c>
      <c r="V135" s="21" t="s">
        <v>471</v>
      </c>
      <c r="W135">
        <v>1</v>
      </c>
      <c r="X135">
        <v>18</v>
      </c>
      <c r="Y135" s="20">
        <v>1</v>
      </c>
    </row>
    <row r="136" spans="1:25" x14ac:dyDescent="0.3">
      <c r="A136" s="20" t="s">
        <v>469</v>
      </c>
      <c r="B136" s="21" t="s">
        <v>9</v>
      </c>
      <c r="C136" s="21" t="s">
        <v>507</v>
      </c>
      <c r="D136" s="3">
        <v>45731</v>
      </c>
      <c r="E136" s="21" t="s">
        <v>477</v>
      </c>
      <c r="F136" s="21" t="s">
        <v>478</v>
      </c>
      <c r="G136" s="21" t="s">
        <v>79</v>
      </c>
      <c r="H136" s="2">
        <v>2</v>
      </c>
      <c r="I136" s="2">
        <v>189</v>
      </c>
      <c r="J136" s="2">
        <v>19</v>
      </c>
      <c r="K136" s="21" t="s">
        <v>97</v>
      </c>
      <c r="L136" s="21" t="s">
        <v>7</v>
      </c>
      <c r="M136" s="21" t="s">
        <v>30</v>
      </c>
      <c r="N136" s="3">
        <v>45713</v>
      </c>
      <c r="O136" s="21" t="s">
        <v>80</v>
      </c>
      <c r="P136" s="21" t="s">
        <v>44</v>
      </c>
      <c r="Q136" s="21" t="s">
        <v>70</v>
      </c>
      <c r="R136" s="2">
        <v>95</v>
      </c>
      <c r="S136" s="2">
        <v>359</v>
      </c>
      <c r="T136" s="2">
        <v>169</v>
      </c>
      <c r="U136" s="4">
        <v>47.075208913649021</v>
      </c>
      <c r="V136" s="21" t="s">
        <v>471</v>
      </c>
      <c r="W136">
        <v>1</v>
      </c>
      <c r="X136">
        <v>5</v>
      </c>
      <c r="Y136" s="20">
        <v>1</v>
      </c>
    </row>
    <row r="137" spans="1:25" x14ac:dyDescent="0.3">
      <c r="A137" s="20" t="s">
        <v>469</v>
      </c>
      <c r="B137" s="21" t="s">
        <v>9</v>
      </c>
      <c r="C137" s="21" t="s">
        <v>508</v>
      </c>
      <c r="D137" s="3">
        <v>45732</v>
      </c>
      <c r="E137" s="21" t="s">
        <v>15</v>
      </c>
      <c r="F137" s="21" t="s">
        <v>16</v>
      </c>
      <c r="G137" s="21" t="s">
        <v>77</v>
      </c>
      <c r="H137" s="2">
        <v>1</v>
      </c>
      <c r="I137" s="2">
        <v>1099</v>
      </c>
      <c r="J137" s="2">
        <v>110</v>
      </c>
      <c r="K137" s="21" t="s">
        <v>97</v>
      </c>
      <c r="L137" s="21" t="s">
        <v>7</v>
      </c>
      <c r="M137" s="21" t="s">
        <v>13</v>
      </c>
      <c r="N137" s="3">
        <v>44883</v>
      </c>
      <c r="O137" s="21" t="s">
        <v>78</v>
      </c>
      <c r="P137" s="21" t="s">
        <v>48</v>
      </c>
      <c r="Q137" s="21" t="s">
        <v>62</v>
      </c>
      <c r="R137" s="2">
        <v>650</v>
      </c>
      <c r="S137" s="2">
        <v>989</v>
      </c>
      <c r="T137" s="2">
        <v>339</v>
      </c>
      <c r="U137" s="4">
        <v>34.277047522750252</v>
      </c>
      <c r="V137" s="21" t="s">
        <v>471</v>
      </c>
      <c r="W137">
        <v>1</v>
      </c>
      <c r="X137">
        <v>32</v>
      </c>
      <c r="Y137" s="20">
        <v>1</v>
      </c>
    </row>
    <row r="138" spans="1:25" x14ac:dyDescent="0.3">
      <c r="A138" s="20" t="s">
        <v>469</v>
      </c>
      <c r="B138" s="21" t="s">
        <v>9</v>
      </c>
      <c r="C138" s="21" t="s">
        <v>509</v>
      </c>
      <c r="D138" s="3">
        <v>45732</v>
      </c>
      <c r="E138" s="21" t="s">
        <v>101</v>
      </c>
      <c r="F138" s="21" t="s">
        <v>510</v>
      </c>
      <c r="G138" s="21" t="s">
        <v>81</v>
      </c>
      <c r="H138" s="2">
        <v>1</v>
      </c>
      <c r="I138" s="2">
        <v>89</v>
      </c>
      <c r="J138" s="2">
        <v>0</v>
      </c>
      <c r="K138" s="21" t="s">
        <v>97</v>
      </c>
      <c r="L138" s="21" t="s">
        <v>265</v>
      </c>
      <c r="M138" s="21" t="s">
        <v>101</v>
      </c>
      <c r="N138" s="3"/>
      <c r="O138" s="21" t="s">
        <v>82</v>
      </c>
      <c r="P138" s="21" t="s">
        <v>52</v>
      </c>
      <c r="Q138" s="21" t="s">
        <v>83</v>
      </c>
      <c r="R138" s="2">
        <v>42</v>
      </c>
      <c r="S138" s="2">
        <v>89</v>
      </c>
      <c r="T138" s="2">
        <v>47</v>
      </c>
      <c r="U138" s="4">
        <v>52.80898876404494</v>
      </c>
      <c r="V138" s="21" t="s">
        <v>471</v>
      </c>
      <c r="W138">
        <v>1</v>
      </c>
      <c r="X138"/>
      <c r="Y138" s="20"/>
    </row>
    <row r="139" spans="1:25" x14ac:dyDescent="0.3">
      <c r="A139" s="20" t="s">
        <v>469</v>
      </c>
      <c r="B139" s="21" t="s">
        <v>9</v>
      </c>
      <c r="C139" s="21" t="s">
        <v>511</v>
      </c>
      <c r="D139" s="3">
        <v>45733</v>
      </c>
      <c r="E139" s="21" t="s">
        <v>25</v>
      </c>
      <c r="F139" s="21" t="s">
        <v>26</v>
      </c>
      <c r="G139" s="21" t="s">
        <v>54</v>
      </c>
      <c r="H139" s="2">
        <v>1</v>
      </c>
      <c r="I139" s="2">
        <v>1299</v>
      </c>
      <c r="J139" s="2">
        <v>130</v>
      </c>
      <c r="K139" s="21" t="s">
        <v>97</v>
      </c>
      <c r="L139" s="21" t="s">
        <v>27</v>
      </c>
      <c r="M139" s="21" t="s">
        <v>13</v>
      </c>
      <c r="N139" s="3">
        <v>45168</v>
      </c>
      <c r="O139" s="21" t="s">
        <v>55</v>
      </c>
      <c r="P139" s="21" t="s">
        <v>44</v>
      </c>
      <c r="Q139" s="21" t="s">
        <v>56</v>
      </c>
      <c r="R139" s="2">
        <v>820</v>
      </c>
      <c r="S139" s="2">
        <v>1169</v>
      </c>
      <c r="T139" s="2">
        <v>349</v>
      </c>
      <c r="U139" s="4">
        <v>29.854576561163388</v>
      </c>
      <c r="V139" s="21" t="s">
        <v>471</v>
      </c>
      <c r="W139">
        <v>1</v>
      </c>
      <c r="X139">
        <v>46</v>
      </c>
      <c r="Y139" s="20">
        <v>1</v>
      </c>
    </row>
    <row r="140" spans="1:25" x14ac:dyDescent="0.3">
      <c r="A140" s="20" t="s">
        <v>469</v>
      </c>
      <c r="B140" s="21" t="s">
        <v>9</v>
      </c>
      <c r="C140" s="21" t="s">
        <v>512</v>
      </c>
      <c r="D140" s="3">
        <v>45733</v>
      </c>
      <c r="E140" s="21" t="s">
        <v>303</v>
      </c>
      <c r="F140" s="21" t="s">
        <v>304</v>
      </c>
      <c r="G140" s="21" t="s">
        <v>42</v>
      </c>
      <c r="H140" s="2">
        <v>2</v>
      </c>
      <c r="I140" s="2">
        <v>349</v>
      </c>
      <c r="J140" s="2">
        <v>0</v>
      </c>
      <c r="K140" s="21" t="s">
        <v>97</v>
      </c>
      <c r="L140" s="21" t="s">
        <v>7</v>
      </c>
      <c r="M140" s="21" t="s">
        <v>30</v>
      </c>
      <c r="N140" s="3">
        <v>45687</v>
      </c>
      <c r="O140" s="21" t="s">
        <v>43</v>
      </c>
      <c r="P140" s="21" t="s">
        <v>44</v>
      </c>
      <c r="Q140" s="21" t="s">
        <v>45</v>
      </c>
      <c r="R140" s="2">
        <v>165</v>
      </c>
      <c r="S140" s="2">
        <v>698</v>
      </c>
      <c r="T140" s="2">
        <v>368</v>
      </c>
      <c r="U140" s="4">
        <v>52.722063037249278</v>
      </c>
      <c r="V140" s="21" t="s">
        <v>471</v>
      </c>
      <c r="W140">
        <v>1</v>
      </c>
      <c r="X140">
        <v>10</v>
      </c>
      <c r="Y140" s="20">
        <v>1</v>
      </c>
    </row>
    <row r="141" spans="1:25" x14ac:dyDescent="0.3">
      <c r="A141" s="20" t="s">
        <v>469</v>
      </c>
      <c r="B141" s="21" t="s">
        <v>9</v>
      </c>
      <c r="C141" s="21" t="s">
        <v>513</v>
      </c>
      <c r="D141" s="3">
        <v>45734</v>
      </c>
      <c r="E141" s="21" t="s">
        <v>18</v>
      </c>
      <c r="F141" s="21" t="s">
        <v>19</v>
      </c>
      <c r="G141" s="21" t="s">
        <v>60</v>
      </c>
      <c r="H141" s="2">
        <v>1</v>
      </c>
      <c r="I141" s="2">
        <v>899</v>
      </c>
      <c r="J141" s="2">
        <v>89.9</v>
      </c>
      <c r="K141" s="21" t="s">
        <v>97</v>
      </c>
      <c r="L141" s="21" t="s">
        <v>20</v>
      </c>
      <c r="M141" s="21" t="s">
        <v>13</v>
      </c>
      <c r="N141" s="3">
        <v>44931</v>
      </c>
      <c r="O141" s="21" t="s">
        <v>61</v>
      </c>
      <c r="P141" s="21" t="s">
        <v>48</v>
      </c>
      <c r="Q141" s="21" t="s">
        <v>62</v>
      </c>
      <c r="R141" s="2">
        <v>520</v>
      </c>
      <c r="S141" s="2">
        <v>809.1</v>
      </c>
      <c r="T141" s="2">
        <v>289.10000000000002</v>
      </c>
      <c r="U141" s="4">
        <v>35.731059201582006</v>
      </c>
      <c r="V141" s="21" t="s">
        <v>471</v>
      </c>
      <c r="W141">
        <v>1</v>
      </c>
      <c r="X141">
        <v>35</v>
      </c>
      <c r="Y141" s="20">
        <v>1</v>
      </c>
    </row>
    <row r="142" spans="1:25" x14ac:dyDescent="0.3">
      <c r="A142" s="20" t="s">
        <v>469</v>
      </c>
      <c r="B142" s="21" t="s">
        <v>9</v>
      </c>
      <c r="C142" s="21" t="s">
        <v>514</v>
      </c>
      <c r="D142" s="3">
        <v>45734</v>
      </c>
      <c r="E142" s="21" t="s">
        <v>101</v>
      </c>
      <c r="F142" s="21" t="s">
        <v>515</v>
      </c>
      <c r="G142" s="21" t="s">
        <v>50</v>
      </c>
      <c r="H142" s="2">
        <v>2</v>
      </c>
      <c r="I142" s="2">
        <v>45</v>
      </c>
      <c r="J142" s="2">
        <v>0</v>
      </c>
      <c r="K142" s="21" t="s">
        <v>97</v>
      </c>
      <c r="L142" s="21" t="s">
        <v>265</v>
      </c>
      <c r="M142" s="21" t="s">
        <v>101</v>
      </c>
      <c r="N142" s="3"/>
      <c r="O142" s="21" t="s">
        <v>51</v>
      </c>
      <c r="P142" s="21" t="s">
        <v>52</v>
      </c>
      <c r="Q142" s="21" t="s">
        <v>53</v>
      </c>
      <c r="R142" s="2">
        <v>18</v>
      </c>
      <c r="S142" s="2">
        <v>90</v>
      </c>
      <c r="T142" s="2">
        <v>54</v>
      </c>
      <c r="U142" s="4">
        <v>60</v>
      </c>
      <c r="V142" s="21" t="s">
        <v>471</v>
      </c>
      <c r="W142">
        <v>1</v>
      </c>
      <c r="X142"/>
      <c r="Y142" s="20"/>
    </row>
    <row r="143" spans="1:25" x14ac:dyDescent="0.3">
      <c r="A143" s="20" t="s">
        <v>469</v>
      </c>
      <c r="B143" s="21" t="s">
        <v>9</v>
      </c>
      <c r="C143" s="21" t="s">
        <v>516</v>
      </c>
      <c r="D143" s="3">
        <v>45735</v>
      </c>
      <c r="E143" s="21" t="s">
        <v>5</v>
      </c>
      <c r="F143" s="21" t="s">
        <v>6</v>
      </c>
      <c r="G143" s="21" t="s">
        <v>57</v>
      </c>
      <c r="H143" s="2">
        <v>1</v>
      </c>
      <c r="I143" s="2">
        <v>529</v>
      </c>
      <c r="J143" s="2">
        <v>53</v>
      </c>
      <c r="K143" s="21" t="s">
        <v>97</v>
      </c>
      <c r="L143" s="21" t="s">
        <v>7</v>
      </c>
      <c r="M143" s="21" t="s">
        <v>8</v>
      </c>
      <c r="N143" s="3">
        <v>44635</v>
      </c>
      <c r="O143" s="21" t="s">
        <v>58</v>
      </c>
      <c r="P143" s="21" t="s">
        <v>44</v>
      </c>
      <c r="Q143" s="21" t="s">
        <v>59</v>
      </c>
      <c r="R143" s="2">
        <v>260</v>
      </c>
      <c r="S143" s="2">
        <v>476</v>
      </c>
      <c r="T143" s="2">
        <v>216</v>
      </c>
      <c r="U143" s="4">
        <v>45.378151260504204</v>
      </c>
      <c r="V143" s="21" t="s">
        <v>471</v>
      </c>
      <c r="W143">
        <v>1</v>
      </c>
      <c r="X143">
        <v>52</v>
      </c>
      <c r="Y143" s="20">
        <v>1</v>
      </c>
    </row>
    <row r="144" spans="1:25" x14ac:dyDescent="0.3">
      <c r="A144" s="20" t="s">
        <v>469</v>
      </c>
      <c r="B144" s="21" t="s">
        <v>9</v>
      </c>
      <c r="C144" s="21" t="s">
        <v>517</v>
      </c>
      <c r="D144" s="3">
        <v>45735</v>
      </c>
      <c r="E144" s="21" t="s">
        <v>21</v>
      </c>
      <c r="F144" s="21" t="s">
        <v>22</v>
      </c>
      <c r="G144" s="21" t="s">
        <v>65</v>
      </c>
      <c r="H144" s="2">
        <v>1</v>
      </c>
      <c r="I144" s="2">
        <v>749</v>
      </c>
      <c r="J144" s="2">
        <v>75</v>
      </c>
      <c r="K144" s="21" t="s">
        <v>97</v>
      </c>
      <c r="L144" s="21" t="s">
        <v>7</v>
      </c>
      <c r="M144" s="21" t="s">
        <v>8</v>
      </c>
      <c r="N144" s="3">
        <v>44948</v>
      </c>
      <c r="O144" s="21" t="s">
        <v>66</v>
      </c>
      <c r="P144" s="21" t="s">
        <v>44</v>
      </c>
      <c r="Q144" s="21" t="s">
        <v>67</v>
      </c>
      <c r="R144" s="2">
        <v>490</v>
      </c>
      <c r="S144" s="2">
        <v>674</v>
      </c>
      <c r="T144" s="2">
        <v>184</v>
      </c>
      <c r="U144" s="4">
        <v>27.299703264094955</v>
      </c>
      <c r="V144" s="21" t="s">
        <v>471</v>
      </c>
      <c r="W144">
        <v>1</v>
      </c>
      <c r="X144">
        <v>32</v>
      </c>
      <c r="Y144" s="20">
        <v>1</v>
      </c>
    </row>
    <row r="145" spans="1:25" x14ac:dyDescent="0.3">
      <c r="A145" s="20" t="s">
        <v>469</v>
      </c>
      <c r="B145" s="21" t="s">
        <v>9</v>
      </c>
      <c r="C145" s="21" t="s">
        <v>518</v>
      </c>
      <c r="D145" s="3">
        <v>45736</v>
      </c>
      <c r="E145" s="21" t="s">
        <v>33</v>
      </c>
      <c r="F145" s="21" t="s">
        <v>34</v>
      </c>
      <c r="G145" s="21" t="s">
        <v>46</v>
      </c>
      <c r="H145" s="2">
        <v>2</v>
      </c>
      <c r="I145" s="2">
        <v>199</v>
      </c>
      <c r="J145" s="2">
        <v>0</v>
      </c>
      <c r="K145" s="21" t="s">
        <v>97</v>
      </c>
      <c r="L145" s="21" t="s">
        <v>7</v>
      </c>
      <c r="M145" s="21" t="s">
        <v>30</v>
      </c>
      <c r="N145" s="3">
        <v>45279</v>
      </c>
      <c r="O145" s="21" t="s">
        <v>47</v>
      </c>
      <c r="P145" s="21" t="s">
        <v>48</v>
      </c>
      <c r="Q145" s="21" t="s">
        <v>49</v>
      </c>
      <c r="R145" s="2">
        <v>95</v>
      </c>
      <c r="S145" s="2">
        <v>398</v>
      </c>
      <c r="T145" s="2">
        <v>208</v>
      </c>
      <c r="U145" s="4">
        <v>52.261306532663319</v>
      </c>
      <c r="V145" s="21" t="s">
        <v>471</v>
      </c>
      <c r="W145">
        <v>1</v>
      </c>
      <c r="X145">
        <v>8</v>
      </c>
      <c r="Y145" s="20">
        <v>1</v>
      </c>
    </row>
    <row r="146" spans="1:25" x14ac:dyDescent="0.3">
      <c r="A146" s="20" t="s">
        <v>469</v>
      </c>
      <c r="B146" s="21" t="s">
        <v>9</v>
      </c>
      <c r="C146" s="21" t="s">
        <v>519</v>
      </c>
      <c r="D146" s="3">
        <v>45736</v>
      </c>
      <c r="E146" s="21" t="s">
        <v>101</v>
      </c>
      <c r="F146" s="21" t="s">
        <v>520</v>
      </c>
      <c r="G146" s="21" t="s">
        <v>63</v>
      </c>
      <c r="H146" s="2">
        <v>3</v>
      </c>
      <c r="I146" s="2">
        <v>29</v>
      </c>
      <c r="J146" s="2">
        <v>0</v>
      </c>
      <c r="K146" s="21" t="s">
        <v>97</v>
      </c>
      <c r="L146" s="21" t="s">
        <v>265</v>
      </c>
      <c r="M146" s="21" t="s">
        <v>101</v>
      </c>
      <c r="N146" s="3"/>
      <c r="O146" s="21" t="s">
        <v>64</v>
      </c>
      <c r="P146" s="21" t="s">
        <v>52</v>
      </c>
      <c r="Q146" s="21" t="s">
        <v>62</v>
      </c>
      <c r="R146" s="2">
        <v>11</v>
      </c>
      <c r="S146" s="2">
        <v>87</v>
      </c>
      <c r="T146" s="2">
        <v>54</v>
      </c>
      <c r="U146" s="4">
        <v>62.068965517241381</v>
      </c>
      <c r="V146" s="21" t="s">
        <v>471</v>
      </c>
      <c r="W146">
        <v>1</v>
      </c>
      <c r="X146"/>
      <c r="Y146" s="20"/>
    </row>
    <row r="147" spans="1:25" x14ac:dyDescent="0.3">
      <c r="A147" s="20" t="s">
        <v>469</v>
      </c>
      <c r="B147" s="21" t="s">
        <v>9</v>
      </c>
      <c r="C147" s="21" t="s">
        <v>521</v>
      </c>
      <c r="D147" s="3">
        <v>45737</v>
      </c>
      <c r="E147" s="21" t="s">
        <v>10</v>
      </c>
      <c r="F147" s="21" t="s">
        <v>11</v>
      </c>
      <c r="G147" s="21" t="s">
        <v>84</v>
      </c>
      <c r="H147" s="2">
        <v>1</v>
      </c>
      <c r="I147" s="2">
        <v>2199</v>
      </c>
      <c r="J147" s="2">
        <v>220</v>
      </c>
      <c r="K147" s="21" t="s">
        <v>97</v>
      </c>
      <c r="L147" s="21" t="s">
        <v>12</v>
      </c>
      <c r="M147" s="21" t="s">
        <v>13</v>
      </c>
      <c r="N147" s="3">
        <v>44744</v>
      </c>
      <c r="O147" s="21" t="s">
        <v>85</v>
      </c>
      <c r="P147" s="21" t="s">
        <v>44</v>
      </c>
      <c r="Q147" s="21" t="s">
        <v>56</v>
      </c>
      <c r="R147" s="2">
        <v>1380</v>
      </c>
      <c r="S147" s="2">
        <v>1979</v>
      </c>
      <c r="T147" s="2">
        <v>599</v>
      </c>
      <c r="U147" s="4">
        <v>30.267812026275898</v>
      </c>
      <c r="V147" s="21" t="s">
        <v>471</v>
      </c>
      <c r="W147">
        <v>1</v>
      </c>
      <c r="X147">
        <v>32</v>
      </c>
      <c r="Y147" s="20">
        <v>1</v>
      </c>
    </row>
    <row r="148" spans="1:25" x14ac:dyDescent="0.3">
      <c r="A148" s="20" t="s">
        <v>469</v>
      </c>
      <c r="B148" s="21" t="s">
        <v>9</v>
      </c>
      <c r="C148" s="21" t="s">
        <v>522</v>
      </c>
      <c r="D148" s="3">
        <v>45737</v>
      </c>
      <c r="E148" s="21" t="s">
        <v>289</v>
      </c>
      <c r="F148" s="21" t="s">
        <v>290</v>
      </c>
      <c r="G148" s="21" t="s">
        <v>68</v>
      </c>
      <c r="H148" s="2">
        <v>1</v>
      </c>
      <c r="I148" s="2">
        <v>229</v>
      </c>
      <c r="J148" s="2">
        <v>0</v>
      </c>
      <c r="K148" s="21" t="s">
        <v>97</v>
      </c>
      <c r="L148" s="21" t="s">
        <v>7</v>
      </c>
      <c r="M148" s="21" t="s">
        <v>30</v>
      </c>
      <c r="N148" s="3">
        <v>45685</v>
      </c>
      <c r="O148" s="21" t="s">
        <v>69</v>
      </c>
      <c r="P148" s="21" t="s">
        <v>44</v>
      </c>
      <c r="Q148" s="21" t="s">
        <v>70</v>
      </c>
      <c r="R148" s="2">
        <v>110</v>
      </c>
      <c r="S148" s="2">
        <v>229</v>
      </c>
      <c r="T148" s="2">
        <v>119</v>
      </c>
      <c r="U148" s="4">
        <v>51.965065502183407</v>
      </c>
      <c r="V148" s="21" t="s">
        <v>471</v>
      </c>
      <c r="W148">
        <v>1</v>
      </c>
      <c r="X148">
        <v>10</v>
      </c>
      <c r="Y148" s="20">
        <v>1</v>
      </c>
    </row>
    <row r="149" spans="1:25" x14ac:dyDescent="0.3">
      <c r="A149" s="20" t="s">
        <v>469</v>
      </c>
      <c r="B149" s="21" t="s">
        <v>9</v>
      </c>
      <c r="C149" s="21" t="s">
        <v>523</v>
      </c>
      <c r="D149" s="3">
        <v>45738</v>
      </c>
      <c r="E149" s="21" t="s">
        <v>303</v>
      </c>
      <c r="F149" s="21" t="s">
        <v>304</v>
      </c>
      <c r="G149" s="21" t="s">
        <v>71</v>
      </c>
      <c r="H149" s="2">
        <v>1</v>
      </c>
      <c r="I149" s="2">
        <v>459</v>
      </c>
      <c r="J149" s="2">
        <v>46</v>
      </c>
      <c r="K149" s="21" t="s">
        <v>97</v>
      </c>
      <c r="L149" s="21" t="s">
        <v>7</v>
      </c>
      <c r="M149" s="21" t="s">
        <v>30</v>
      </c>
      <c r="N149" s="3">
        <v>45687</v>
      </c>
      <c r="O149" s="21" t="s">
        <v>72</v>
      </c>
      <c r="P149" s="21" t="s">
        <v>48</v>
      </c>
      <c r="Q149" s="21" t="s">
        <v>49</v>
      </c>
      <c r="R149" s="2">
        <v>210</v>
      </c>
      <c r="S149" s="2">
        <v>413</v>
      </c>
      <c r="T149" s="2">
        <v>203</v>
      </c>
      <c r="U149" s="4">
        <v>49.152542372881356</v>
      </c>
      <c r="V149" s="21" t="s">
        <v>471</v>
      </c>
      <c r="W149">
        <v>1</v>
      </c>
      <c r="X149">
        <v>10</v>
      </c>
      <c r="Y149" s="20">
        <v>1</v>
      </c>
    </row>
    <row r="150" spans="1:25" x14ac:dyDescent="0.3">
      <c r="A150" s="20" t="s">
        <v>469</v>
      </c>
      <c r="B150" s="21" t="s">
        <v>9</v>
      </c>
      <c r="C150" s="21" t="s">
        <v>524</v>
      </c>
      <c r="D150" s="3">
        <v>45738</v>
      </c>
      <c r="E150" s="21" t="s">
        <v>101</v>
      </c>
      <c r="F150" s="21" t="s">
        <v>525</v>
      </c>
      <c r="G150" s="21" t="s">
        <v>73</v>
      </c>
      <c r="H150" s="2">
        <v>4</v>
      </c>
      <c r="I150" s="2">
        <v>19</v>
      </c>
      <c r="J150" s="2">
        <v>0</v>
      </c>
      <c r="K150" s="21" t="s">
        <v>97</v>
      </c>
      <c r="L150" s="21" t="s">
        <v>265</v>
      </c>
      <c r="M150" s="21" t="s">
        <v>101</v>
      </c>
      <c r="N150" s="3"/>
      <c r="O150" s="21" t="s">
        <v>74</v>
      </c>
      <c r="P150" s="21" t="s">
        <v>52</v>
      </c>
      <c r="Q150" s="21" t="s">
        <v>62</v>
      </c>
      <c r="R150" s="2">
        <v>8</v>
      </c>
      <c r="S150" s="2">
        <v>76</v>
      </c>
      <c r="T150" s="2">
        <v>44</v>
      </c>
      <c r="U150" s="4">
        <v>57.894736842105267</v>
      </c>
      <c r="V150" s="21" t="s">
        <v>471</v>
      </c>
      <c r="W150">
        <v>1</v>
      </c>
      <c r="X150"/>
      <c r="Y150" s="20"/>
    </row>
    <row r="151" spans="1:25" x14ac:dyDescent="0.3">
      <c r="A151" s="20" t="s">
        <v>469</v>
      </c>
      <c r="B151" s="21" t="s">
        <v>9</v>
      </c>
      <c r="C151" s="21" t="s">
        <v>526</v>
      </c>
      <c r="D151" s="3">
        <v>45739</v>
      </c>
      <c r="E151" s="21" t="s">
        <v>23</v>
      </c>
      <c r="F151" s="21" t="s">
        <v>24</v>
      </c>
      <c r="G151" s="21" t="s">
        <v>75</v>
      </c>
      <c r="H151" s="2">
        <v>1</v>
      </c>
      <c r="I151" s="2">
        <v>599</v>
      </c>
      <c r="J151" s="2">
        <v>59.9</v>
      </c>
      <c r="K151" s="21" t="s">
        <v>97</v>
      </c>
      <c r="L151" s="21" t="s">
        <v>7</v>
      </c>
      <c r="M151" s="21" t="s">
        <v>13</v>
      </c>
      <c r="N151" s="3">
        <v>45030</v>
      </c>
      <c r="O151" s="21" t="s">
        <v>76</v>
      </c>
      <c r="P151" s="21" t="s">
        <v>44</v>
      </c>
      <c r="Q151" s="21" t="s">
        <v>59</v>
      </c>
      <c r="R151" s="2">
        <v>350</v>
      </c>
      <c r="S151" s="2">
        <v>539.1</v>
      </c>
      <c r="T151" s="2">
        <v>189.10000000000002</v>
      </c>
      <c r="U151" s="4">
        <v>35.076980152105364</v>
      </c>
      <c r="V151" s="21" t="s">
        <v>471</v>
      </c>
      <c r="W151">
        <v>1</v>
      </c>
      <c r="X151">
        <v>18</v>
      </c>
      <c r="Y151" s="20">
        <v>1</v>
      </c>
    </row>
    <row r="152" spans="1:25" x14ac:dyDescent="0.3">
      <c r="A152" s="20" t="s">
        <v>469</v>
      </c>
      <c r="B152" s="21" t="s">
        <v>9</v>
      </c>
      <c r="C152" s="21" t="s">
        <v>527</v>
      </c>
      <c r="D152" s="3">
        <v>45739</v>
      </c>
      <c r="E152" s="21" t="s">
        <v>15</v>
      </c>
      <c r="F152" s="21" t="s">
        <v>16</v>
      </c>
      <c r="G152" s="21" t="s">
        <v>79</v>
      </c>
      <c r="H152" s="2">
        <v>1</v>
      </c>
      <c r="I152" s="2">
        <v>189</v>
      </c>
      <c r="J152" s="2">
        <v>0</v>
      </c>
      <c r="K152" s="21" t="s">
        <v>97</v>
      </c>
      <c r="L152" s="21" t="s">
        <v>7</v>
      </c>
      <c r="M152" s="21" t="s">
        <v>13</v>
      </c>
      <c r="N152" s="3">
        <v>44883</v>
      </c>
      <c r="O152" s="21" t="s">
        <v>80</v>
      </c>
      <c r="P152" s="21" t="s">
        <v>44</v>
      </c>
      <c r="Q152" s="21" t="s">
        <v>70</v>
      </c>
      <c r="R152" s="2">
        <v>95</v>
      </c>
      <c r="S152" s="2">
        <v>189</v>
      </c>
      <c r="T152" s="2">
        <v>94</v>
      </c>
      <c r="U152" s="4">
        <v>49.735449735449734</v>
      </c>
      <c r="V152" s="21" t="s">
        <v>471</v>
      </c>
      <c r="W152">
        <v>1</v>
      </c>
      <c r="X152">
        <v>32</v>
      </c>
      <c r="Y152" s="20">
        <v>1</v>
      </c>
    </row>
    <row r="153" spans="1:25" x14ac:dyDescent="0.3">
      <c r="A153" s="20" t="s">
        <v>469</v>
      </c>
      <c r="B153" s="21" t="s">
        <v>9</v>
      </c>
      <c r="C153" s="21" t="s">
        <v>528</v>
      </c>
      <c r="D153" s="3">
        <v>45740</v>
      </c>
      <c r="E153" s="21" t="s">
        <v>101</v>
      </c>
      <c r="F153" s="21" t="s">
        <v>529</v>
      </c>
      <c r="G153" s="21" t="s">
        <v>81</v>
      </c>
      <c r="H153" s="2">
        <v>2</v>
      </c>
      <c r="I153" s="2">
        <v>89</v>
      </c>
      <c r="J153" s="2">
        <v>8.9</v>
      </c>
      <c r="K153" s="21" t="s">
        <v>97</v>
      </c>
      <c r="L153" s="21" t="s">
        <v>265</v>
      </c>
      <c r="M153" s="21" t="s">
        <v>101</v>
      </c>
      <c r="N153" s="3"/>
      <c r="O153" s="21" t="s">
        <v>82</v>
      </c>
      <c r="P153" s="21" t="s">
        <v>52</v>
      </c>
      <c r="Q153" s="21" t="s">
        <v>83</v>
      </c>
      <c r="R153" s="2">
        <v>42</v>
      </c>
      <c r="S153" s="2">
        <v>169.1</v>
      </c>
      <c r="T153" s="2">
        <v>85.1</v>
      </c>
      <c r="U153" s="4">
        <v>50.325251330573629</v>
      </c>
      <c r="V153" s="21" t="s">
        <v>471</v>
      </c>
      <c r="W153">
        <v>1</v>
      </c>
      <c r="X153"/>
      <c r="Y153" s="20"/>
    </row>
    <row r="154" spans="1:25" x14ac:dyDescent="0.3">
      <c r="A154" s="20" t="s">
        <v>469</v>
      </c>
      <c r="B154" s="21" t="s">
        <v>9</v>
      </c>
      <c r="C154" s="21" t="s">
        <v>530</v>
      </c>
      <c r="D154" s="3">
        <v>45741</v>
      </c>
      <c r="E154" s="21" t="s">
        <v>18</v>
      </c>
      <c r="F154" s="21" t="s">
        <v>19</v>
      </c>
      <c r="G154" s="21" t="s">
        <v>54</v>
      </c>
      <c r="H154" s="2">
        <v>1</v>
      </c>
      <c r="I154" s="2">
        <v>1299</v>
      </c>
      <c r="J154" s="2">
        <v>0</v>
      </c>
      <c r="K154" s="21" t="s">
        <v>97</v>
      </c>
      <c r="L154" s="21" t="s">
        <v>20</v>
      </c>
      <c r="M154" s="21" t="s">
        <v>13</v>
      </c>
      <c r="N154" s="3">
        <v>44931</v>
      </c>
      <c r="O154" s="21" t="s">
        <v>55</v>
      </c>
      <c r="P154" s="21" t="s">
        <v>44</v>
      </c>
      <c r="Q154" s="21" t="s">
        <v>56</v>
      </c>
      <c r="R154" s="2">
        <v>820</v>
      </c>
      <c r="S154" s="2">
        <v>1299</v>
      </c>
      <c r="T154" s="2">
        <v>479</v>
      </c>
      <c r="U154" s="4">
        <v>36.87451886066205</v>
      </c>
      <c r="V154" s="21" t="s">
        <v>471</v>
      </c>
      <c r="W154">
        <v>1</v>
      </c>
      <c r="X154">
        <v>35</v>
      </c>
      <c r="Y154" s="20">
        <v>1</v>
      </c>
    </row>
    <row r="155" spans="1:25" x14ac:dyDescent="0.3">
      <c r="A155" s="20" t="s">
        <v>469</v>
      </c>
      <c r="B155" s="21" t="s">
        <v>9</v>
      </c>
      <c r="C155" s="21" t="s">
        <v>531</v>
      </c>
      <c r="D155" s="3">
        <v>45741</v>
      </c>
      <c r="E155" s="21" t="s">
        <v>5</v>
      </c>
      <c r="F155" s="21" t="s">
        <v>6</v>
      </c>
      <c r="G155" s="21" t="s">
        <v>42</v>
      </c>
      <c r="H155" s="2">
        <v>2</v>
      </c>
      <c r="I155" s="2">
        <v>349</v>
      </c>
      <c r="J155" s="2">
        <v>34.9</v>
      </c>
      <c r="K155" s="21" t="s">
        <v>97</v>
      </c>
      <c r="L155" s="21" t="s">
        <v>7</v>
      </c>
      <c r="M155" s="21" t="s">
        <v>8</v>
      </c>
      <c r="N155" s="3">
        <v>44635</v>
      </c>
      <c r="O155" s="21" t="s">
        <v>43</v>
      </c>
      <c r="P155" s="21" t="s">
        <v>44</v>
      </c>
      <c r="Q155" s="21" t="s">
        <v>45</v>
      </c>
      <c r="R155" s="2">
        <v>165</v>
      </c>
      <c r="S155" s="2">
        <v>663.1</v>
      </c>
      <c r="T155" s="2">
        <v>333.1</v>
      </c>
      <c r="U155" s="4">
        <v>50.233750565525561</v>
      </c>
      <c r="V155" s="21" t="s">
        <v>471</v>
      </c>
      <c r="W155">
        <v>1</v>
      </c>
      <c r="X155">
        <v>52</v>
      </c>
      <c r="Y155" s="20">
        <v>1</v>
      </c>
    </row>
    <row r="156" spans="1:25" x14ac:dyDescent="0.3">
      <c r="A156" s="20" t="s">
        <v>469</v>
      </c>
      <c r="B156" s="21" t="s">
        <v>9</v>
      </c>
      <c r="C156" s="21" t="s">
        <v>532</v>
      </c>
      <c r="D156" s="3">
        <v>45742</v>
      </c>
      <c r="E156" s="21" t="s">
        <v>21</v>
      </c>
      <c r="F156" s="21" t="s">
        <v>22</v>
      </c>
      <c r="G156" s="21" t="s">
        <v>60</v>
      </c>
      <c r="H156" s="2">
        <v>1</v>
      </c>
      <c r="I156" s="2">
        <v>899</v>
      </c>
      <c r="J156" s="2">
        <v>0</v>
      </c>
      <c r="K156" s="21" t="s">
        <v>97</v>
      </c>
      <c r="L156" s="21" t="s">
        <v>7</v>
      </c>
      <c r="M156" s="21" t="s">
        <v>8</v>
      </c>
      <c r="N156" s="3">
        <v>44948</v>
      </c>
      <c r="O156" s="21" t="s">
        <v>61</v>
      </c>
      <c r="P156" s="21" t="s">
        <v>48</v>
      </c>
      <c r="Q156" s="21" t="s">
        <v>62</v>
      </c>
      <c r="R156" s="2">
        <v>520</v>
      </c>
      <c r="S156" s="2">
        <v>899</v>
      </c>
      <c r="T156" s="2">
        <v>379</v>
      </c>
      <c r="U156" s="4">
        <v>42.157953281423808</v>
      </c>
      <c r="V156" s="21" t="s">
        <v>471</v>
      </c>
      <c r="W156">
        <v>1</v>
      </c>
      <c r="X156">
        <v>32</v>
      </c>
      <c r="Y156" s="20">
        <v>1</v>
      </c>
    </row>
    <row r="157" spans="1:25" x14ac:dyDescent="0.3">
      <c r="A157" s="20" t="s">
        <v>469</v>
      </c>
      <c r="B157" s="21" t="s">
        <v>9</v>
      </c>
      <c r="C157" s="21" t="s">
        <v>533</v>
      </c>
      <c r="D157" s="3">
        <v>45742</v>
      </c>
      <c r="E157" s="21" t="s">
        <v>101</v>
      </c>
      <c r="F157" s="21" t="s">
        <v>534</v>
      </c>
      <c r="G157" s="21" t="s">
        <v>50</v>
      </c>
      <c r="H157" s="2">
        <v>3</v>
      </c>
      <c r="I157" s="2">
        <v>45</v>
      </c>
      <c r="J157" s="2">
        <v>0</v>
      </c>
      <c r="K157" s="21" t="s">
        <v>97</v>
      </c>
      <c r="L157" s="21" t="s">
        <v>265</v>
      </c>
      <c r="M157" s="21" t="s">
        <v>101</v>
      </c>
      <c r="N157" s="3"/>
      <c r="O157" s="21" t="s">
        <v>51</v>
      </c>
      <c r="P157" s="21" t="s">
        <v>52</v>
      </c>
      <c r="Q157" s="21" t="s">
        <v>53</v>
      </c>
      <c r="R157" s="2">
        <v>18</v>
      </c>
      <c r="S157" s="2">
        <v>135</v>
      </c>
      <c r="T157" s="2">
        <v>81</v>
      </c>
      <c r="U157" s="4">
        <v>60</v>
      </c>
      <c r="V157" s="21" t="s">
        <v>471</v>
      </c>
      <c r="W157">
        <v>1</v>
      </c>
      <c r="X157"/>
      <c r="Y157" s="20"/>
    </row>
    <row r="158" spans="1:25" x14ac:dyDescent="0.3">
      <c r="A158" s="20" t="s">
        <v>469</v>
      </c>
      <c r="B158" s="21" t="s">
        <v>9</v>
      </c>
      <c r="C158" s="21" t="s">
        <v>535</v>
      </c>
      <c r="D158" s="3">
        <v>45743</v>
      </c>
      <c r="E158" s="21" t="s">
        <v>477</v>
      </c>
      <c r="F158" s="21" t="s">
        <v>478</v>
      </c>
      <c r="G158" s="21" t="s">
        <v>65</v>
      </c>
      <c r="H158" s="2">
        <v>1</v>
      </c>
      <c r="I158" s="2">
        <v>749</v>
      </c>
      <c r="J158" s="2">
        <v>74.900000000000006</v>
      </c>
      <c r="K158" s="21" t="s">
        <v>97</v>
      </c>
      <c r="L158" s="21" t="s">
        <v>7</v>
      </c>
      <c r="M158" s="21" t="s">
        <v>30</v>
      </c>
      <c r="N158" s="3">
        <v>45713</v>
      </c>
      <c r="O158" s="21" t="s">
        <v>66</v>
      </c>
      <c r="P158" s="21" t="s">
        <v>44</v>
      </c>
      <c r="Q158" s="21" t="s">
        <v>67</v>
      </c>
      <c r="R158" s="2">
        <v>490</v>
      </c>
      <c r="S158" s="2">
        <v>674.1</v>
      </c>
      <c r="T158" s="2">
        <v>184.10000000000002</v>
      </c>
      <c r="U158" s="4">
        <v>27.310488058151609</v>
      </c>
      <c r="V158" s="21" t="s">
        <v>471</v>
      </c>
      <c r="W158">
        <v>1</v>
      </c>
      <c r="X158">
        <v>5</v>
      </c>
      <c r="Y158" s="20">
        <v>1</v>
      </c>
    </row>
    <row r="159" spans="1:25" x14ac:dyDescent="0.3">
      <c r="A159" s="20" t="s">
        <v>469</v>
      </c>
      <c r="B159" s="21" t="s">
        <v>9</v>
      </c>
      <c r="C159" s="21" t="s">
        <v>536</v>
      </c>
      <c r="D159" s="3">
        <v>45743</v>
      </c>
      <c r="E159" s="21" t="s">
        <v>303</v>
      </c>
      <c r="F159" s="21" t="s">
        <v>304</v>
      </c>
      <c r="G159" s="21" t="s">
        <v>57</v>
      </c>
      <c r="H159" s="2">
        <v>1</v>
      </c>
      <c r="I159" s="2">
        <v>529</v>
      </c>
      <c r="J159" s="2">
        <v>0</v>
      </c>
      <c r="K159" s="21" t="s">
        <v>97</v>
      </c>
      <c r="L159" s="21" t="s">
        <v>7</v>
      </c>
      <c r="M159" s="21" t="s">
        <v>30</v>
      </c>
      <c r="N159" s="3">
        <v>45687</v>
      </c>
      <c r="O159" s="21" t="s">
        <v>58</v>
      </c>
      <c r="P159" s="21" t="s">
        <v>44</v>
      </c>
      <c r="Q159" s="21" t="s">
        <v>59</v>
      </c>
      <c r="R159" s="2">
        <v>260</v>
      </c>
      <c r="S159" s="2">
        <v>529</v>
      </c>
      <c r="T159" s="2">
        <v>269</v>
      </c>
      <c r="U159" s="4">
        <v>50.850661625708881</v>
      </c>
      <c r="V159" s="21" t="s">
        <v>471</v>
      </c>
      <c r="W159">
        <v>1</v>
      </c>
      <c r="X159">
        <v>10</v>
      </c>
      <c r="Y159" s="20">
        <v>1</v>
      </c>
    </row>
    <row r="160" spans="1:25" x14ac:dyDescent="0.3">
      <c r="A160" s="20" t="s">
        <v>469</v>
      </c>
      <c r="B160" s="21" t="s">
        <v>9</v>
      </c>
      <c r="C160" s="21" t="s">
        <v>537</v>
      </c>
      <c r="D160" s="3">
        <v>45744</v>
      </c>
      <c r="E160" s="21" t="s">
        <v>10</v>
      </c>
      <c r="F160" s="21" t="s">
        <v>11</v>
      </c>
      <c r="G160" s="21" t="s">
        <v>46</v>
      </c>
      <c r="H160" s="2">
        <v>2</v>
      </c>
      <c r="I160" s="2">
        <v>199</v>
      </c>
      <c r="J160" s="2">
        <v>20</v>
      </c>
      <c r="K160" s="21" t="s">
        <v>97</v>
      </c>
      <c r="L160" s="21" t="s">
        <v>12</v>
      </c>
      <c r="M160" s="21" t="s">
        <v>13</v>
      </c>
      <c r="N160" s="3">
        <v>44744</v>
      </c>
      <c r="O160" s="21" t="s">
        <v>47</v>
      </c>
      <c r="P160" s="21" t="s">
        <v>48</v>
      </c>
      <c r="Q160" s="21" t="s">
        <v>49</v>
      </c>
      <c r="R160" s="2">
        <v>95</v>
      </c>
      <c r="S160" s="2">
        <v>378</v>
      </c>
      <c r="T160" s="2">
        <v>188</v>
      </c>
      <c r="U160" s="4">
        <v>49.735449735449734</v>
      </c>
      <c r="V160" s="21" t="s">
        <v>471</v>
      </c>
      <c r="W160">
        <v>1</v>
      </c>
      <c r="X160">
        <v>32</v>
      </c>
      <c r="Y160" s="20">
        <v>1</v>
      </c>
    </row>
    <row r="161" spans="1:25" x14ac:dyDescent="0.3">
      <c r="A161" s="20" t="s">
        <v>469</v>
      </c>
      <c r="B161" s="21" t="s">
        <v>9</v>
      </c>
      <c r="C161" s="21" t="s">
        <v>538</v>
      </c>
      <c r="D161" s="3">
        <v>45744</v>
      </c>
      <c r="E161" s="21" t="s">
        <v>101</v>
      </c>
      <c r="F161" s="21" t="s">
        <v>539</v>
      </c>
      <c r="G161" s="21" t="s">
        <v>63</v>
      </c>
      <c r="H161" s="2">
        <v>2</v>
      </c>
      <c r="I161" s="2">
        <v>29</v>
      </c>
      <c r="J161" s="2">
        <v>0</v>
      </c>
      <c r="K161" s="21" t="s">
        <v>97</v>
      </c>
      <c r="L161" s="21" t="s">
        <v>265</v>
      </c>
      <c r="M161" s="21" t="s">
        <v>101</v>
      </c>
      <c r="N161" s="3"/>
      <c r="O161" s="21" t="s">
        <v>64</v>
      </c>
      <c r="P161" s="21" t="s">
        <v>52</v>
      </c>
      <c r="Q161" s="21" t="s">
        <v>62</v>
      </c>
      <c r="R161" s="2">
        <v>11</v>
      </c>
      <c r="S161" s="2">
        <v>58</v>
      </c>
      <c r="T161" s="2">
        <v>36</v>
      </c>
      <c r="U161" s="4">
        <v>62.068965517241381</v>
      </c>
      <c r="V161" s="21" t="s">
        <v>471</v>
      </c>
      <c r="W161">
        <v>1</v>
      </c>
      <c r="X161"/>
      <c r="Y161" s="20"/>
    </row>
    <row r="162" spans="1:25" x14ac:dyDescent="0.3">
      <c r="A162" s="20" t="s">
        <v>469</v>
      </c>
      <c r="B162" s="21" t="s">
        <v>9</v>
      </c>
      <c r="C162" s="21" t="s">
        <v>540</v>
      </c>
      <c r="D162" s="3">
        <v>45745</v>
      </c>
      <c r="E162" s="21" t="s">
        <v>289</v>
      </c>
      <c r="F162" s="21" t="s">
        <v>290</v>
      </c>
      <c r="G162" s="21" t="s">
        <v>65</v>
      </c>
      <c r="H162" s="2">
        <v>1</v>
      </c>
      <c r="I162" s="2">
        <v>749</v>
      </c>
      <c r="J162" s="2">
        <v>0</v>
      </c>
      <c r="K162" s="21" t="s">
        <v>97</v>
      </c>
      <c r="L162" s="21" t="s">
        <v>7</v>
      </c>
      <c r="M162" s="21" t="s">
        <v>30</v>
      </c>
      <c r="N162" s="3">
        <v>45685</v>
      </c>
      <c r="O162" s="21" t="s">
        <v>66</v>
      </c>
      <c r="P162" s="21" t="s">
        <v>44</v>
      </c>
      <c r="Q162" s="21" t="s">
        <v>67</v>
      </c>
      <c r="R162" s="2">
        <v>490</v>
      </c>
      <c r="S162" s="2">
        <v>749</v>
      </c>
      <c r="T162" s="2">
        <v>259</v>
      </c>
      <c r="U162" s="4">
        <v>34.579439252336449</v>
      </c>
      <c r="V162" s="21" t="s">
        <v>471</v>
      </c>
      <c r="W162">
        <v>1</v>
      </c>
      <c r="X162">
        <v>10</v>
      </c>
      <c r="Y162" s="20">
        <v>1</v>
      </c>
    </row>
    <row r="163" spans="1:25" x14ac:dyDescent="0.3">
      <c r="A163" s="20" t="s">
        <v>469</v>
      </c>
      <c r="B163" s="21" t="s">
        <v>9</v>
      </c>
      <c r="C163" s="21" t="s">
        <v>541</v>
      </c>
      <c r="D163" s="3">
        <v>45745</v>
      </c>
      <c r="E163" s="21" t="s">
        <v>25</v>
      </c>
      <c r="F163" s="21" t="s">
        <v>26</v>
      </c>
      <c r="G163" s="21" t="s">
        <v>42</v>
      </c>
      <c r="H163" s="2">
        <v>1</v>
      </c>
      <c r="I163" s="2">
        <v>349</v>
      </c>
      <c r="J163" s="2">
        <v>34.9</v>
      </c>
      <c r="K163" s="21" t="s">
        <v>97</v>
      </c>
      <c r="L163" s="21" t="s">
        <v>27</v>
      </c>
      <c r="M163" s="21" t="s">
        <v>13</v>
      </c>
      <c r="N163" s="3">
        <v>45168</v>
      </c>
      <c r="O163" s="21" t="s">
        <v>43</v>
      </c>
      <c r="P163" s="21" t="s">
        <v>44</v>
      </c>
      <c r="Q163" s="21" t="s">
        <v>45</v>
      </c>
      <c r="R163" s="2">
        <v>165</v>
      </c>
      <c r="S163" s="2">
        <v>314.10000000000002</v>
      </c>
      <c r="T163" s="2">
        <v>149.10000000000002</v>
      </c>
      <c r="U163" s="4">
        <v>47.468958930276983</v>
      </c>
      <c r="V163" s="21" t="s">
        <v>471</v>
      </c>
      <c r="W163">
        <v>1</v>
      </c>
      <c r="X163">
        <v>46</v>
      </c>
      <c r="Y163" s="20">
        <v>1</v>
      </c>
    </row>
    <row r="164" spans="1:25" x14ac:dyDescent="0.3">
      <c r="A164" s="20" t="s">
        <v>469</v>
      </c>
      <c r="B164" s="21" t="s">
        <v>9</v>
      </c>
      <c r="C164" s="21" t="s">
        <v>542</v>
      </c>
      <c r="D164" s="3">
        <v>45746</v>
      </c>
      <c r="E164" s="21" t="s">
        <v>23</v>
      </c>
      <c r="F164" s="21" t="s">
        <v>24</v>
      </c>
      <c r="G164" s="21" t="s">
        <v>60</v>
      </c>
      <c r="H164" s="2">
        <v>1</v>
      </c>
      <c r="I164" s="2">
        <v>899</v>
      </c>
      <c r="J164" s="2">
        <v>89.9</v>
      </c>
      <c r="K164" s="21" t="s">
        <v>97</v>
      </c>
      <c r="L164" s="21" t="s">
        <v>7</v>
      </c>
      <c r="M164" s="21" t="s">
        <v>13</v>
      </c>
      <c r="N164" s="3">
        <v>45030</v>
      </c>
      <c r="O164" s="21" t="s">
        <v>61</v>
      </c>
      <c r="P164" s="21" t="s">
        <v>48</v>
      </c>
      <c r="Q164" s="21" t="s">
        <v>62</v>
      </c>
      <c r="R164" s="2">
        <v>520</v>
      </c>
      <c r="S164" s="2">
        <v>809.1</v>
      </c>
      <c r="T164" s="2">
        <v>289.10000000000002</v>
      </c>
      <c r="U164" s="4">
        <v>35.731059201582006</v>
      </c>
      <c r="V164" s="21" t="s">
        <v>471</v>
      </c>
      <c r="W164">
        <v>1</v>
      </c>
      <c r="X164">
        <v>18</v>
      </c>
      <c r="Y164" s="20">
        <v>1</v>
      </c>
    </row>
    <row r="165" spans="1:25" x14ac:dyDescent="0.3">
      <c r="A165" s="20" t="s">
        <v>469</v>
      </c>
      <c r="B165" s="21" t="s">
        <v>9</v>
      </c>
      <c r="C165" s="21" t="s">
        <v>543</v>
      </c>
      <c r="D165" s="3">
        <v>45746</v>
      </c>
      <c r="E165" s="21" t="s">
        <v>101</v>
      </c>
      <c r="F165" s="21" t="s">
        <v>544</v>
      </c>
      <c r="G165" s="21" t="s">
        <v>50</v>
      </c>
      <c r="H165" s="2">
        <v>2</v>
      </c>
      <c r="I165" s="2">
        <v>45</v>
      </c>
      <c r="J165" s="2">
        <v>0</v>
      </c>
      <c r="K165" s="21" t="s">
        <v>97</v>
      </c>
      <c r="L165" s="21" t="s">
        <v>265</v>
      </c>
      <c r="M165" s="21" t="s">
        <v>101</v>
      </c>
      <c r="N165" s="3"/>
      <c r="O165" s="21" t="s">
        <v>51</v>
      </c>
      <c r="P165" s="21" t="s">
        <v>52</v>
      </c>
      <c r="Q165" s="21" t="s">
        <v>53</v>
      </c>
      <c r="R165" s="2">
        <v>18</v>
      </c>
      <c r="S165" s="2">
        <v>90</v>
      </c>
      <c r="T165" s="2">
        <v>54</v>
      </c>
      <c r="U165" s="4">
        <v>60</v>
      </c>
      <c r="V165" s="21" t="s">
        <v>471</v>
      </c>
      <c r="W165">
        <v>1</v>
      </c>
      <c r="X165"/>
      <c r="Y165" s="20"/>
    </row>
    <row r="166" spans="1:25" x14ac:dyDescent="0.3">
      <c r="A166" s="20" t="s">
        <v>469</v>
      </c>
      <c r="B166" s="21" t="s">
        <v>9</v>
      </c>
      <c r="C166" s="21" t="s">
        <v>545</v>
      </c>
      <c r="D166" s="3">
        <v>45747</v>
      </c>
      <c r="E166" s="21" t="s">
        <v>5</v>
      </c>
      <c r="F166" s="21" t="s">
        <v>6</v>
      </c>
      <c r="G166" s="21" t="s">
        <v>54</v>
      </c>
      <c r="H166" s="2">
        <v>1</v>
      </c>
      <c r="I166" s="2">
        <v>1299</v>
      </c>
      <c r="J166" s="2">
        <v>130</v>
      </c>
      <c r="K166" s="21" t="s">
        <v>97</v>
      </c>
      <c r="L166" s="21" t="s">
        <v>7</v>
      </c>
      <c r="M166" s="21" t="s">
        <v>8</v>
      </c>
      <c r="N166" s="3">
        <v>44635</v>
      </c>
      <c r="O166" s="21" t="s">
        <v>55</v>
      </c>
      <c r="P166" s="21" t="s">
        <v>44</v>
      </c>
      <c r="Q166" s="21" t="s">
        <v>56</v>
      </c>
      <c r="R166" s="2">
        <v>820</v>
      </c>
      <c r="S166" s="2">
        <v>1169</v>
      </c>
      <c r="T166" s="2">
        <v>349</v>
      </c>
      <c r="U166" s="4">
        <v>29.854576561163388</v>
      </c>
      <c r="V166" s="21" t="s">
        <v>471</v>
      </c>
      <c r="W166">
        <v>1</v>
      </c>
      <c r="X166">
        <v>52</v>
      </c>
      <c r="Y166" s="20">
        <v>1</v>
      </c>
    </row>
    <row r="167" spans="1:25" x14ac:dyDescent="0.3">
      <c r="A167" s="20" t="s">
        <v>469</v>
      </c>
      <c r="B167" s="21" t="s">
        <v>9</v>
      </c>
      <c r="C167" s="21" t="s">
        <v>546</v>
      </c>
      <c r="D167" s="3">
        <v>45747</v>
      </c>
      <c r="E167" s="21" t="s">
        <v>477</v>
      </c>
      <c r="F167" s="21" t="s">
        <v>478</v>
      </c>
      <c r="G167" s="21" t="s">
        <v>68</v>
      </c>
      <c r="H167" s="2">
        <v>1</v>
      </c>
      <c r="I167" s="2">
        <v>229</v>
      </c>
      <c r="J167" s="2">
        <v>22.9</v>
      </c>
      <c r="K167" s="21" t="s">
        <v>97</v>
      </c>
      <c r="L167" s="21" t="s">
        <v>7</v>
      </c>
      <c r="M167" s="21" t="s">
        <v>30</v>
      </c>
      <c r="N167" s="3">
        <v>45713</v>
      </c>
      <c r="O167" s="21" t="s">
        <v>69</v>
      </c>
      <c r="P167" s="21" t="s">
        <v>44</v>
      </c>
      <c r="Q167" s="21" t="s">
        <v>70</v>
      </c>
      <c r="R167" s="2">
        <v>110</v>
      </c>
      <c r="S167" s="2">
        <v>206.1</v>
      </c>
      <c r="T167" s="2">
        <v>96.1</v>
      </c>
      <c r="U167" s="4">
        <v>46.62785055798156</v>
      </c>
      <c r="V167" s="21" t="s">
        <v>471</v>
      </c>
      <c r="W167">
        <v>1</v>
      </c>
      <c r="X167">
        <v>5</v>
      </c>
      <c r="Y167" s="20">
        <v>1</v>
      </c>
    </row>
    <row r="168" spans="1:25" x14ac:dyDescent="0.3">
      <c r="A168" s="20" t="s">
        <v>353</v>
      </c>
      <c r="B168" s="21" t="s">
        <v>14</v>
      </c>
      <c r="C168" s="21" t="s">
        <v>354</v>
      </c>
      <c r="D168" s="3">
        <v>45689</v>
      </c>
      <c r="E168" s="21" t="s">
        <v>28</v>
      </c>
      <c r="F168" s="21" t="s">
        <v>29</v>
      </c>
      <c r="G168" s="21" t="s">
        <v>54</v>
      </c>
      <c r="H168" s="2">
        <v>1</v>
      </c>
      <c r="I168" s="2">
        <v>1299</v>
      </c>
      <c r="J168" s="2">
        <v>130</v>
      </c>
      <c r="K168" s="21" t="s">
        <v>97</v>
      </c>
      <c r="L168" s="21" t="s">
        <v>7</v>
      </c>
      <c r="M168" s="21" t="s">
        <v>30</v>
      </c>
      <c r="N168" s="3">
        <v>45211</v>
      </c>
      <c r="O168" s="21" t="s">
        <v>55</v>
      </c>
      <c r="P168" s="21" t="s">
        <v>44</v>
      </c>
      <c r="Q168" s="21" t="s">
        <v>56</v>
      </c>
      <c r="R168" s="2">
        <v>820</v>
      </c>
      <c r="S168" s="2">
        <v>1169</v>
      </c>
      <c r="T168" s="2">
        <v>349</v>
      </c>
      <c r="U168" s="4">
        <v>29.854576561163388</v>
      </c>
      <c r="V168" s="21" t="s">
        <v>281</v>
      </c>
      <c r="W168">
        <v>1</v>
      </c>
      <c r="X168">
        <v>19</v>
      </c>
      <c r="Y168" s="20">
        <v>1</v>
      </c>
    </row>
    <row r="169" spans="1:25" x14ac:dyDescent="0.3">
      <c r="A169" s="20" t="s">
        <v>353</v>
      </c>
      <c r="B169" s="21" t="s">
        <v>14</v>
      </c>
      <c r="C169" s="21" t="s">
        <v>355</v>
      </c>
      <c r="D169" s="3">
        <v>45693</v>
      </c>
      <c r="E169" s="21" t="s">
        <v>28</v>
      </c>
      <c r="F169" s="21" t="s">
        <v>29</v>
      </c>
      <c r="G169" s="21" t="s">
        <v>84</v>
      </c>
      <c r="H169" s="2">
        <v>1</v>
      </c>
      <c r="I169" s="2">
        <v>2199</v>
      </c>
      <c r="J169" s="2">
        <v>0</v>
      </c>
      <c r="K169" s="21" t="s">
        <v>97</v>
      </c>
      <c r="L169" s="21" t="s">
        <v>7</v>
      </c>
      <c r="M169" s="21" t="s">
        <v>30</v>
      </c>
      <c r="N169" s="3">
        <v>45211</v>
      </c>
      <c r="O169" s="21" t="s">
        <v>85</v>
      </c>
      <c r="P169" s="21" t="s">
        <v>44</v>
      </c>
      <c r="Q169" s="21" t="s">
        <v>56</v>
      </c>
      <c r="R169" s="2">
        <v>1380</v>
      </c>
      <c r="S169" s="2">
        <v>2199</v>
      </c>
      <c r="T169" s="2">
        <v>819</v>
      </c>
      <c r="U169" s="4">
        <v>37.244201909959074</v>
      </c>
      <c r="V169" s="21" t="s">
        <v>281</v>
      </c>
      <c r="W169">
        <v>1</v>
      </c>
      <c r="X169">
        <v>19</v>
      </c>
      <c r="Y169" s="20">
        <v>1</v>
      </c>
    </row>
    <row r="170" spans="1:25" x14ac:dyDescent="0.3">
      <c r="A170" s="20" t="s">
        <v>353</v>
      </c>
      <c r="B170" s="21" t="s">
        <v>14</v>
      </c>
      <c r="C170" s="21" t="s">
        <v>356</v>
      </c>
      <c r="D170" s="3">
        <v>45697</v>
      </c>
      <c r="E170" s="21" t="s">
        <v>5</v>
      </c>
      <c r="F170" s="21" t="s">
        <v>6</v>
      </c>
      <c r="G170" s="21" t="s">
        <v>42</v>
      </c>
      <c r="H170" s="2">
        <v>1</v>
      </c>
      <c r="I170" s="2">
        <v>349</v>
      </c>
      <c r="J170" s="2">
        <v>0</v>
      </c>
      <c r="K170" s="21" t="s">
        <v>97</v>
      </c>
      <c r="L170" s="21" t="s">
        <v>7</v>
      </c>
      <c r="M170" s="21" t="s">
        <v>8</v>
      </c>
      <c r="N170" s="3">
        <v>44635</v>
      </c>
      <c r="O170" s="21" t="s">
        <v>43</v>
      </c>
      <c r="P170" s="21" t="s">
        <v>44</v>
      </c>
      <c r="Q170" s="21" t="s">
        <v>45</v>
      </c>
      <c r="R170" s="2">
        <v>165</v>
      </c>
      <c r="S170" s="2">
        <v>349</v>
      </c>
      <c r="T170" s="2">
        <v>184</v>
      </c>
      <c r="U170" s="4">
        <v>52.722063037249278</v>
      </c>
      <c r="V170" s="21" t="s">
        <v>281</v>
      </c>
      <c r="W170">
        <v>1</v>
      </c>
      <c r="X170">
        <v>52</v>
      </c>
      <c r="Y170" s="20">
        <v>1</v>
      </c>
    </row>
    <row r="171" spans="1:25" x14ac:dyDescent="0.3">
      <c r="A171" s="20" t="s">
        <v>353</v>
      </c>
      <c r="B171" s="21" t="s">
        <v>14</v>
      </c>
      <c r="C171" s="21" t="s">
        <v>357</v>
      </c>
      <c r="D171" s="3">
        <v>45691</v>
      </c>
      <c r="E171" s="21" t="s">
        <v>5</v>
      </c>
      <c r="F171" s="21" t="s">
        <v>6</v>
      </c>
      <c r="G171" s="21" t="s">
        <v>57</v>
      </c>
      <c r="H171" s="2">
        <v>1</v>
      </c>
      <c r="I171" s="2">
        <v>529</v>
      </c>
      <c r="J171" s="2">
        <v>52.9</v>
      </c>
      <c r="K171" s="21" t="s">
        <v>97</v>
      </c>
      <c r="L171" s="21" t="s">
        <v>7</v>
      </c>
      <c r="M171" s="21" t="s">
        <v>8</v>
      </c>
      <c r="N171" s="3">
        <v>44635</v>
      </c>
      <c r="O171" s="21" t="s">
        <v>58</v>
      </c>
      <c r="P171" s="21" t="s">
        <v>44</v>
      </c>
      <c r="Q171" s="21" t="s">
        <v>59</v>
      </c>
      <c r="R171" s="2">
        <v>260</v>
      </c>
      <c r="S171" s="2">
        <v>476.1</v>
      </c>
      <c r="T171" s="2">
        <v>216.10000000000002</v>
      </c>
      <c r="U171" s="4">
        <v>45.389624028565429</v>
      </c>
      <c r="V171" s="21" t="s">
        <v>281</v>
      </c>
      <c r="W171">
        <v>1</v>
      </c>
      <c r="X171">
        <v>52</v>
      </c>
      <c r="Y171" s="20">
        <v>1</v>
      </c>
    </row>
    <row r="172" spans="1:25" x14ac:dyDescent="0.3">
      <c r="A172" s="20" t="s">
        <v>353</v>
      </c>
      <c r="B172" s="21" t="s">
        <v>14</v>
      </c>
      <c r="C172" s="21" t="s">
        <v>360</v>
      </c>
      <c r="D172" s="3">
        <v>45690</v>
      </c>
      <c r="E172" s="21" t="s">
        <v>10</v>
      </c>
      <c r="F172" s="21" t="s">
        <v>11</v>
      </c>
      <c r="G172" s="21" t="s">
        <v>60</v>
      </c>
      <c r="H172" s="2">
        <v>1</v>
      </c>
      <c r="I172" s="2">
        <v>899</v>
      </c>
      <c r="J172" s="2">
        <v>90</v>
      </c>
      <c r="K172" s="21" t="s">
        <v>97</v>
      </c>
      <c r="L172" s="21" t="s">
        <v>12</v>
      </c>
      <c r="M172" s="21" t="s">
        <v>13</v>
      </c>
      <c r="N172" s="3">
        <v>44744</v>
      </c>
      <c r="O172" s="21" t="s">
        <v>61</v>
      </c>
      <c r="P172" s="21" t="s">
        <v>48</v>
      </c>
      <c r="Q172" s="21" t="s">
        <v>62</v>
      </c>
      <c r="R172" s="2">
        <v>520</v>
      </c>
      <c r="S172" s="2">
        <v>809</v>
      </c>
      <c r="T172" s="2">
        <v>289</v>
      </c>
      <c r="U172" s="4">
        <v>35.723114956736715</v>
      </c>
      <c r="V172" s="21" t="s">
        <v>281</v>
      </c>
      <c r="W172">
        <v>1</v>
      </c>
      <c r="X172">
        <v>32</v>
      </c>
      <c r="Y172" s="20">
        <v>1</v>
      </c>
    </row>
    <row r="173" spans="1:25" x14ac:dyDescent="0.3">
      <c r="A173" s="20" t="s">
        <v>353</v>
      </c>
      <c r="B173" s="21" t="s">
        <v>14</v>
      </c>
      <c r="C173" s="21" t="s">
        <v>361</v>
      </c>
      <c r="D173" s="3">
        <v>45695</v>
      </c>
      <c r="E173" s="21" t="s">
        <v>10</v>
      </c>
      <c r="F173" s="21" t="s">
        <v>11</v>
      </c>
      <c r="G173" s="21" t="s">
        <v>75</v>
      </c>
      <c r="H173" s="2">
        <v>1</v>
      </c>
      <c r="I173" s="2">
        <v>599</v>
      </c>
      <c r="J173" s="2">
        <v>60</v>
      </c>
      <c r="K173" s="21" t="s">
        <v>97</v>
      </c>
      <c r="L173" s="21" t="s">
        <v>12</v>
      </c>
      <c r="M173" s="21" t="s">
        <v>13</v>
      </c>
      <c r="N173" s="3">
        <v>44744</v>
      </c>
      <c r="O173" s="21" t="s">
        <v>76</v>
      </c>
      <c r="P173" s="21" t="s">
        <v>44</v>
      </c>
      <c r="Q173" s="21" t="s">
        <v>59</v>
      </c>
      <c r="R173" s="2">
        <v>350</v>
      </c>
      <c r="S173" s="2">
        <v>539</v>
      </c>
      <c r="T173" s="2">
        <v>189</v>
      </c>
      <c r="U173" s="4">
        <v>35.064935064935064</v>
      </c>
      <c r="V173" s="21" t="s">
        <v>281</v>
      </c>
      <c r="W173">
        <v>1</v>
      </c>
      <c r="X173">
        <v>32</v>
      </c>
      <c r="Y173" s="20">
        <v>1</v>
      </c>
    </row>
    <row r="174" spans="1:25" x14ac:dyDescent="0.3">
      <c r="A174" s="20" t="s">
        <v>353</v>
      </c>
      <c r="B174" s="21" t="s">
        <v>14</v>
      </c>
      <c r="C174" s="21" t="s">
        <v>358</v>
      </c>
      <c r="D174" s="3">
        <v>45689</v>
      </c>
      <c r="E174" s="21" t="s">
        <v>31</v>
      </c>
      <c r="F174" s="21" t="s">
        <v>32</v>
      </c>
      <c r="G174" s="21" t="s">
        <v>42</v>
      </c>
      <c r="H174" s="2">
        <v>2</v>
      </c>
      <c r="I174" s="2">
        <v>349</v>
      </c>
      <c r="J174" s="2">
        <v>0</v>
      </c>
      <c r="K174" s="21" t="s">
        <v>97</v>
      </c>
      <c r="L174" s="21" t="s">
        <v>20</v>
      </c>
      <c r="M174" s="21" t="s">
        <v>30</v>
      </c>
      <c r="N174" s="3">
        <v>45263</v>
      </c>
      <c r="O174" s="21" t="s">
        <v>43</v>
      </c>
      <c r="P174" s="21" t="s">
        <v>44</v>
      </c>
      <c r="Q174" s="21" t="s">
        <v>45</v>
      </c>
      <c r="R174" s="2">
        <v>165</v>
      </c>
      <c r="S174" s="2">
        <v>698</v>
      </c>
      <c r="T174" s="2">
        <v>368</v>
      </c>
      <c r="U174" s="4">
        <v>52.722063037249278</v>
      </c>
      <c r="V174" s="21" t="s">
        <v>281</v>
      </c>
      <c r="W174">
        <v>1</v>
      </c>
      <c r="X174">
        <v>20</v>
      </c>
      <c r="Y174" s="20">
        <v>1</v>
      </c>
    </row>
    <row r="175" spans="1:25" x14ac:dyDescent="0.3">
      <c r="A175" s="20" t="s">
        <v>353</v>
      </c>
      <c r="B175" s="21" t="s">
        <v>14</v>
      </c>
      <c r="C175" s="21" t="s">
        <v>359</v>
      </c>
      <c r="D175" s="3">
        <v>45694</v>
      </c>
      <c r="E175" s="21" t="s">
        <v>31</v>
      </c>
      <c r="F175" s="21" t="s">
        <v>32</v>
      </c>
      <c r="G175" s="21" t="s">
        <v>71</v>
      </c>
      <c r="H175" s="2">
        <v>2</v>
      </c>
      <c r="I175" s="2">
        <v>459</v>
      </c>
      <c r="J175" s="2">
        <v>46</v>
      </c>
      <c r="K175" s="21" t="s">
        <v>97</v>
      </c>
      <c r="L175" s="21" t="s">
        <v>20</v>
      </c>
      <c r="M175" s="21" t="s">
        <v>30</v>
      </c>
      <c r="N175" s="3">
        <v>45263</v>
      </c>
      <c r="O175" s="21" t="s">
        <v>72</v>
      </c>
      <c r="P175" s="21" t="s">
        <v>48</v>
      </c>
      <c r="Q175" s="21" t="s">
        <v>49</v>
      </c>
      <c r="R175" s="2">
        <v>210</v>
      </c>
      <c r="S175" s="2">
        <v>872</v>
      </c>
      <c r="T175" s="2">
        <v>452</v>
      </c>
      <c r="U175" s="4">
        <v>51.834862385321102</v>
      </c>
      <c r="V175" s="21" t="s">
        <v>281</v>
      </c>
      <c r="W175">
        <v>1</v>
      </c>
      <c r="X175">
        <v>20</v>
      </c>
      <c r="Y175" s="20">
        <v>1</v>
      </c>
    </row>
    <row r="176" spans="1:25" x14ac:dyDescent="0.3">
      <c r="A176" s="20" t="s">
        <v>353</v>
      </c>
      <c r="B176" s="21" t="s">
        <v>14</v>
      </c>
      <c r="C176" s="21" t="s">
        <v>374</v>
      </c>
      <c r="D176" s="3">
        <v>45698</v>
      </c>
      <c r="E176" s="21" t="s">
        <v>31</v>
      </c>
      <c r="F176" s="21" t="s">
        <v>32</v>
      </c>
      <c r="G176" s="21" t="s">
        <v>60</v>
      </c>
      <c r="H176" s="2">
        <v>2</v>
      </c>
      <c r="I176" s="2">
        <v>899</v>
      </c>
      <c r="J176" s="2">
        <v>90</v>
      </c>
      <c r="K176" s="21" t="s">
        <v>97</v>
      </c>
      <c r="L176" s="21" t="s">
        <v>20</v>
      </c>
      <c r="M176" s="21" t="s">
        <v>30</v>
      </c>
      <c r="N176" s="3">
        <v>45263</v>
      </c>
      <c r="O176" s="21" t="s">
        <v>61</v>
      </c>
      <c r="P176" s="21" t="s">
        <v>48</v>
      </c>
      <c r="Q176" s="21" t="s">
        <v>62</v>
      </c>
      <c r="R176" s="2">
        <v>520</v>
      </c>
      <c r="S176" s="2">
        <v>1708</v>
      </c>
      <c r="T176" s="2">
        <v>668</v>
      </c>
      <c r="U176" s="4">
        <v>39.110070257611241</v>
      </c>
      <c r="V176" s="21" t="s">
        <v>281</v>
      </c>
      <c r="W176">
        <v>1</v>
      </c>
      <c r="X176">
        <v>20</v>
      </c>
      <c r="Y176" s="20">
        <v>1</v>
      </c>
    </row>
    <row r="177" spans="1:25" x14ac:dyDescent="0.3">
      <c r="A177" s="20" t="s">
        <v>353</v>
      </c>
      <c r="B177" s="21" t="s">
        <v>14</v>
      </c>
      <c r="C177" s="21" t="s">
        <v>362</v>
      </c>
      <c r="D177" s="3">
        <v>45695</v>
      </c>
      <c r="E177" s="21" t="s">
        <v>21</v>
      </c>
      <c r="F177" s="21" t="s">
        <v>22</v>
      </c>
      <c r="G177" s="21" t="s">
        <v>79</v>
      </c>
      <c r="H177" s="2">
        <v>1</v>
      </c>
      <c r="I177" s="2">
        <v>189</v>
      </c>
      <c r="J177" s="2">
        <v>19</v>
      </c>
      <c r="K177" s="21" t="s">
        <v>97</v>
      </c>
      <c r="L177" s="21" t="s">
        <v>7</v>
      </c>
      <c r="M177" s="21" t="s">
        <v>8</v>
      </c>
      <c r="N177" s="3">
        <v>44948</v>
      </c>
      <c r="O177" s="21" t="s">
        <v>80</v>
      </c>
      <c r="P177" s="21" t="s">
        <v>44</v>
      </c>
      <c r="Q177" s="21" t="s">
        <v>70</v>
      </c>
      <c r="R177" s="2">
        <v>95</v>
      </c>
      <c r="S177" s="2">
        <v>170</v>
      </c>
      <c r="T177" s="2">
        <v>75</v>
      </c>
      <c r="U177" s="4">
        <v>44.117647058823529</v>
      </c>
      <c r="V177" s="21" t="s">
        <v>281</v>
      </c>
      <c r="W177">
        <v>1</v>
      </c>
      <c r="X177">
        <v>32</v>
      </c>
      <c r="Y177" s="20">
        <v>1</v>
      </c>
    </row>
    <row r="178" spans="1:25" x14ac:dyDescent="0.3">
      <c r="A178" s="20" t="s">
        <v>353</v>
      </c>
      <c r="B178" s="21" t="s">
        <v>14</v>
      </c>
      <c r="C178" s="21" t="s">
        <v>364</v>
      </c>
      <c r="D178" s="3">
        <v>45690</v>
      </c>
      <c r="E178" s="21" t="s">
        <v>101</v>
      </c>
      <c r="F178" s="21" t="s">
        <v>170</v>
      </c>
      <c r="G178" s="21" t="s">
        <v>50</v>
      </c>
      <c r="H178" s="2">
        <v>4</v>
      </c>
      <c r="I178" s="2">
        <v>45</v>
      </c>
      <c r="J178" s="2">
        <v>22.5</v>
      </c>
      <c r="K178" s="21" t="s">
        <v>97</v>
      </c>
      <c r="L178" s="21" t="s">
        <v>265</v>
      </c>
      <c r="M178" s="21" t="s">
        <v>101</v>
      </c>
      <c r="N178" s="3"/>
      <c r="O178" s="21" t="s">
        <v>51</v>
      </c>
      <c r="P178" s="21" t="s">
        <v>52</v>
      </c>
      <c r="Q178" s="21" t="s">
        <v>53</v>
      </c>
      <c r="R178" s="2">
        <v>18</v>
      </c>
      <c r="S178" s="2">
        <v>157.5</v>
      </c>
      <c r="T178" s="2">
        <v>85.5</v>
      </c>
      <c r="U178" s="4">
        <v>54.285714285714285</v>
      </c>
      <c r="V178" s="21" t="s">
        <v>281</v>
      </c>
      <c r="W178">
        <v>1</v>
      </c>
      <c r="X178"/>
      <c r="Y178" s="20"/>
    </row>
    <row r="179" spans="1:25" x14ac:dyDescent="0.3">
      <c r="A179" s="20" t="s">
        <v>353</v>
      </c>
      <c r="B179" s="21" t="s">
        <v>14</v>
      </c>
      <c r="C179" s="21" t="s">
        <v>373</v>
      </c>
      <c r="D179" s="3">
        <v>45698</v>
      </c>
      <c r="E179" s="21" t="s">
        <v>101</v>
      </c>
      <c r="F179" s="21" t="s">
        <v>170</v>
      </c>
      <c r="G179" s="21" t="s">
        <v>50</v>
      </c>
      <c r="H179" s="2">
        <v>3</v>
      </c>
      <c r="I179" s="2">
        <v>45</v>
      </c>
      <c r="J179" s="2">
        <v>0</v>
      </c>
      <c r="K179" s="21" t="s">
        <v>97</v>
      </c>
      <c r="L179" s="21" t="s">
        <v>265</v>
      </c>
      <c r="M179" s="21" t="s">
        <v>101</v>
      </c>
      <c r="N179" s="3"/>
      <c r="O179" s="21" t="s">
        <v>51</v>
      </c>
      <c r="P179" s="21" t="s">
        <v>52</v>
      </c>
      <c r="Q179" s="21" t="s">
        <v>53</v>
      </c>
      <c r="R179" s="2">
        <v>18</v>
      </c>
      <c r="S179" s="2">
        <v>135</v>
      </c>
      <c r="T179" s="2">
        <v>81</v>
      </c>
      <c r="U179" s="4">
        <v>60</v>
      </c>
      <c r="V179" s="21" t="s">
        <v>281</v>
      </c>
      <c r="W179">
        <v>1</v>
      </c>
      <c r="X179"/>
      <c r="Y179" s="20"/>
    </row>
    <row r="180" spans="1:25" x14ac:dyDescent="0.3">
      <c r="A180" s="20" t="s">
        <v>353</v>
      </c>
      <c r="B180" s="21" t="s">
        <v>14</v>
      </c>
      <c r="C180" s="21" t="s">
        <v>365</v>
      </c>
      <c r="D180" s="3">
        <v>45692</v>
      </c>
      <c r="E180" s="21" t="s">
        <v>101</v>
      </c>
      <c r="F180" s="21" t="s">
        <v>170</v>
      </c>
      <c r="G180" s="21" t="s">
        <v>63</v>
      </c>
      <c r="H180" s="2">
        <v>3</v>
      </c>
      <c r="I180" s="2">
        <v>29</v>
      </c>
      <c r="J180" s="2">
        <v>0</v>
      </c>
      <c r="K180" s="21" t="s">
        <v>97</v>
      </c>
      <c r="L180" s="21" t="s">
        <v>265</v>
      </c>
      <c r="M180" s="21" t="s">
        <v>101</v>
      </c>
      <c r="N180" s="3"/>
      <c r="O180" s="21" t="s">
        <v>64</v>
      </c>
      <c r="P180" s="21" t="s">
        <v>52</v>
      </c>
      <c r="Q180" s="21" t="s">
        <v>62</v>
      </c>
      <c r="R180" s="2">
        <v>11</v>
      </c>
      <c r="S180" s="2">
        <v>87</v>
      </c>
      <c r="T180" s="2">
        <v>54</v>
      </c>
      <c r="U180" s="4">
        <v>62.068965517241381</v>
      </c>
      <c r="V180" s="21" t="s">
        <v>281</v>
      </c>
      <c r="W180">
        <v>1</v>
      </c>
      <c r="X180"/>
      <c r="Y180" s="20"/>
    </row>
    <row r="181" spans="1:25" x14ac:dyDescent="0.3">
      <c r="A181" s="20" t="s">
        <v>353</v>
      </c>
      <c r="B181" s="21" t="s">
        <v>14</v>
      </c>
      <c r="C181" s="21" t="s">
        <v>366</v>
      </c>
      <c r="D181" s="3">
        <v>45694</v>
      </c>
      <c r="E181" s="21" t="s">
        <v>101</v>
      </c>
      <c r="F181" s="21" t="s">
        <v>170</v>
      </c>
      <c r="G181" s="21" t="s">
        <v>73</v>
      </c>
      <c r="H181" s="2">
        <v>5</v>
      </c>
      <c r="I181" s="2">
        <v>19</v>
      </c>
      <c r="J181" s="2">
        <v>0</v>
      </c>
      <c r="K181" s="21" t="s">
        <v>97</v>
      </c>
      <c r="L181" s="21" t="s">
        <v>265</v>
      </c>
      <c r="M181" s="21" t="s">
        <v>101</v>
      </c>
      <c r="N181" s="3"/>
      <c r="O181" s="21" t="s">
        <v>74</v>
      </c>
      <c r="P181" s="21" t="s">
        <v>52</v>
      </c>
      <c r="Q181" s="21" t="s">
        <v>62</v>
      </c>
      <c r="R181" s="2">
        <v>8</v>
      </c>
      <c r="S181" s="2">
        <v>95</v>
      </c>
      <c r="T181" s="2">
        <v>55</v>
      </c>
      <c r="U181" s="4">
        <v>57.894736842105267</v>
      </c>
      <c r="V181" s="21" t="s">
        <v>281</v>
      </c>
      <c r="W181">
        <v>1</v>
      </c>
      <c r="X181"/>
      <c r="Y181" s="20"/>
    </row>
    <row r="182" spans="1:25" x14ac:dyDescent="0.3">
      <c r="A182" s="20" t="s">
        <v>353</v>
      </c>
      <c r="B182" s="21" t="s">
        <v>14</v>
      </c>
      <c r="C182" s="21" t="s">
        <v>367</v>
      </c>
      <c r="D182" s="3">
        <v>45696</v>
      </c>
      <c r="E182" s="21" t="s">
        <v>101</v>
      </c>
      <c r="F182" s="21" t="s">
        <v>170</v>
      </c>
      <c r="G182" s="21" t="s">
        <v>77</v>
      </c>
      <c r="H182" s="2">
        <v>1</v>
      </c>
      <c r="I182" s="2">
        <v>1099</v>
      </c>
      <c r="J182" s="2">
        <v>0</v>
      </c>
      <c r="K182" s="21" t="s">
        <v>97</v>
      </c>
      <c r="L182" s="21" t="s">
        <v>265</v>
      </c>
      <c r="M182" s="21" t="s">
        <v>101</v>
      </c>
      <c r="N182" s="3"/>
      <c r="O182" s="21" t="s">
        <v>78</v>
      </c>
      <c r="P182" s="21" t="s">
        <v>48</v>
      </c>
      <c r="Q182" s="21" t="s">
        <v>62</v>
      </c>
      <c r="R182" s="2">
        <v>650</v>
      </c>
      <c r="S182" s="2">
        <v>1099</v>
      </c>
      <c r="T182" s="2">
        <v>449</v>
      </c>
      <c r="U182" s="4">
        <v>40.855323020928111</v>
      </c>
      <c r="V182" s="21" t="s">
        <v>281</v>
      </c>
      <c r="W182">
        <v>1</v>
      </c>
      <c r="X182"/>
      <c r="Y182" s="20"/>
    </row>
    <row r="183" spans="1:25" x14ac:dyDescent="0.3">
      <c r="A183" s="20" t="s">
        <v>353</v>
      </c>
      <c r="B183" s="21" t="s">
        <v>14</v>
      </c>
      <c r="C183" s="21" t="s">
        <v>363</v>
      </c>
      <c r="D183" s="3">
        <v>45692</v>
      </c>
      <c r="E183" s="21" t="s">
        <v>25</v>
      </c>
      <c r="F183" s="21" t="s">
        <v>26</v>
      </c>
      <c r="G183" s="21" t="s">
        <v>46</v>
      </c>
      <c r="H183" s="2">
        <v>2</v>
      </c>
      <c r="I183" s="2">
        <v>199</v>
      </c>
      <c r="J183" s="2">
        <v>20</v>
      </c>
      <c r="K183" s="21" t="s">
        <v>97</v>
      </c>
      <c r="L183" s="21" t="s">
        <v>27</v>
      </c>
      <c r="M183" s="21" t="s">
        <v>13</v>
      </c>
      <c r="N183" s="3">
        <v>45168</v>
      </c>
      <c r="O183" s="21" t="s">
        <v>47</v>
      </c>
      <c r="P183" s="21" t="s">
        <v>48</v>
      </c>
      <c r="Q183" s="21" t="s">
        <v>49</v>
      </c>
      <c r="R183" s="2">
        <v>95</v>
      </c>
      <c r="S183" s="2">
        <v>378</v>
      </c>
      <c r="T183" s="2">
        <v>188</v>
      </c>
      <c r="U183" s="4">
        <v>49.735449735449734</v>
      </c>
      <c r="V183" s="21" t="s">
        <v>281</v>
      </c>
      <c r="W183">
        <v>1</v>
      </c>
      <c r="X183">
        <v>46</v>
      </c>
      <c r="Y183" s="20">
        <v>1</v>
      </c>
    </row>
    <row r="184" spans="1:25" x14ac:dyDescent="0.3">
      <c r="A184" s="20" t="s">
        <v>353</v>
      </c>
      <c r="B184" s="21" t="s">
        <v>14</v>
      </c>
      <c r="C184" s="21" t="s">
        <v>375</v>
      </c>
      <c r="D184" s="3">
        <v>45699</v>
      </c>
      <c r="E184" s="21" t="s">
        <v>25</v>
      </c>
      <c r="F184" s="21" t="s">
        <v>26</v>
      </c>
      <c r="G184" s="21" t="s">
        <v>65</v>
      </c>
      <c r="H184" s="2">
        <v>1</v>
      </c>
      <c r="I184" s="2">
        <v>749</v>
      </c>
      <c r="J184" s="2">
        <v>75</v>
      </c>
      <c r="K184" s="21" t="s">
        <v>97</v>
      </c>
      <c r="L184" s="21" t="s">
        <v>27</v>
      </c>
      <c r="M184" s="21" t="s">
        <v>13</v>
      </c>
      <c r="N184" s="3">
        <v>45168</v>
      </c>
      <c r="O184" s="21" t="s">
        <v>66</v>
      </c>
      <c r="P184" s="21" t="s">
        <v>44</v>
      </c>
      <c r="Q184" s="21" t="s">
        <v>67</v>
      </c>
      <c r="R184" s="2">
        <v>490</v>
      </c>
      <c r="S184" s="2">
        <v>674</v>
      </c>
      <c r="T184" s="2">
        <v>184</v>
      </c>
      <c r="U184" s="4">
        <v>27.299703264094955</v>
      </c>
      <c r="V184" s="21" t="s">
        <v>281</v>
      </c>
      <c r="W184">
        <v>1</v>
      </c>
      <c r="X184">
        <v>46</v>
      </c>
      <c r="Y184" s="20">
        <v>1</v>
      </c>
    </row>
    <row r="185" spans="1:25" x14ac:dyDescent="0.3">
      <c r="A185" s="20" t="s">
        <v>353</v>
      </c>
      <c r="B185" s="21" t="s">
        <v>14</v>
      </c>
      <c r="C185" s="21" t="s">
        <v>368</v>
      </c>
      <c r="D185" s="3">
        <v>45691</v>
      </c>
      <c r="E185" s="21" t="s">
        <v>369</v>
      </c>
      <c r="F185" s="21" t="s">
        <v>370</v>
      </c>
      <c r="G185" s="21" t="s">
        <v>65</v>
      </c>
      <c r="H185" s="2">
        <v>1</v>
      </c>
      <c r="I185" s="2">
        <v>749</v>
      </c>
      <c r="J185" s="2">
        <v>0</v>
      </c>
      <c r="K185" s="21" t="s">
        <v>97</v>
      </c>
      <c r="L185" s="21" t="s">
        <v>12</v>
      </c>
      <c r="M185" s="21" t="s">
        <v>30</v>
      </c>
      <c r="N185" s="3">
        <v>45688</v>
      </c>
      <c r="O185" s="21" t="s">
        <v>66</v>
      </c>
      <c r="P185" s="21" t="s">
        <v>44</v>
      </c>
      <c r="Q185" s="21" t="s">
        <v>67</v>
      </c>
      <c r="R185" s="2">
        <v>490</v>
      </c>
      <c r="S185" s="2">
        <v>749</v>
      </c>
      <c r="T185" s="2">
        <v>259</v>
      </c>
      <c r="U185" s="4">
        <v>34.579439252336449</v>
      </c>
      <c r="V185" s="21" t="s">
        <v>281</v>
      </c>
      <c r="W185">
        <v>1</v>
      </c>
      <c r="X185">
        <v>6</v>
      </c>
      <c r="Y185" s="20">
        <v>1</v>
      </c>
    </row>
    <row r="186" spans="1:25" x14ac:dyDescent="0.3">
      <c r="A186" s="20" t="s">
        <v>353</v>
      </c>
      <c r="B186" s="21" t="s">
        <v>14</v>
      </c>
      <c r="C186" s="21" t="s">
        <v>371</v>
      </c>
      <c r="D186" s="3">
        <v>45693</v>
      </c>
      <c r="E186" s="21" t="s">
        <v>369</v>
      </c>
      <c r="F186" s="21" t="s">
        <v>370</v>
      </c>
      <c r="G186" s="21" t="s">
        <v>68</v>
      </c>
      <c r="H186" s="2">
        <v>1</v>
      </c>
      <c r="I186" s="2">
        <v>229</v>
      </c>
      <c r="J186" s="2">
        <v>22.9</v>
      </c>
      <c r="K186" s="21" t="s">
        <v>97</v>
      </c>
      <c r="L186" s="21" t="s">
        <v>12</v>
      </c>
      <c r="M186" s="21" t="s">
        <v>30</v>
      </c>
      <c r="N186" s="3">
        <v>45688</v>
      </c>
      <c r="O186" s="21" t="s">
        <v>69</v>
      </c>
      <c r="P186" s="21" t="s">
        <v>44</v>
      </c>
      <c r="Q186" s="21" t="s">
        <v>70</v>
      </c>
      <c r="R186" s="2">
        <v>110</v>
      </c>
      <c r="S186" s="2">
        <v>206.1</v>
      </c>
      <c r="T186" s="2">
        <v>96.1</v>
      </c>
      <c r="U186" s="4">
        <v>46.62785055798156</v>
      </c>
      <c r="V186" s="21" t="s">
        <v>281</v>
      </c>
      <c r="W186">
        <v>1</v>
      </c>
      <c r="X186">
        <v>6</v>
      </c>
      <c r="Y186" s="20">
        <v>1</v>
      </c>
    </row>
    <row r="187" spans="1:25" x14ac:dyDescent="0.3">
      <c r="A187" s="20" t="s">
        <v>353</v>
      </c>
      <c r="B187" s="21" t="s">
        <v>14</v>
      </c>
      <c r="C187" s="21" t="s">
        <v>372</v>
      </c>
      <c r="D187" s="3">
        <v>45696</v>
      </c>
      <c r="E187" s="21" t="s">
        <v>369</v>
      </c>
      <c r="F187" s="21" t="s">
        <v>370</v>
      </c>
      <c r="G187" s="21" t="s">
        <v>81</v>
      </c>
      <c r="H187" s="2">
        <v>2</v>
      </c>
      <c r="I187" s="2">
        <v>89</v>
      </c>
      <c r="J187" s="2">
        <v>0</v>
      </c>
      <c r="K187" s="21" t="s">
        <v>97</v>
      </c>
      <c r="L187" s="21" t="s">
        <v>12</v>
      </c>
      <c r="M187" s="21" t="s">
        <v>30</v>
      </c>
      <c r="N187" s="3">
        <v>45688</v>
      </c>
      <c r="O187" s="21" t="s">
        <v>82</v>
      </c>
      <c r="P187" s="21" t="s">
        <v>52</v>
      </c>
      <c r="Q187" s="21" t="s">
        <v>83</v>
      </c>
      <c r="R187" s="2">
        <v>42</v>
      </c>
      <c r="S187" s="2">
        <v>178</v>
      </c>
      <c r="T187" s="2">
        <v>94</v>
      </c>
      <c r="U187" s="4">
        <v>52.80898876404494</v>
      </c>
      <c r="V187" s="21" t="s">
        <v>281</v>
      </c>
      <c r="W187">
        <v>1</v>
      </c>
      <c r="X187">
        <v>6</v>
      </c>
      <c r="Y187" s="20">
        <v>1</v>
      </c>
    </row>
    <row r="188" spans="1:25" x14ac:dyDescent="0.3">
      <c r="A188" s="20" t="s">
        <v>353</v>
      </c>
      <c r="B188" s="21" t="s">
        <v>14</v>
      </c>
      <c r="C188" s="21" t="s">
        <v>376</v>
      </c>
      <c r="D188" s="3">
        <v>45699</v>
      </c>
      <c r="E188" s="21" t="s">
        <v>369</v>
      </c>
      <c r="F188" s="21" t="s">
        <v>370</v>
      </c>
      <c r="G188" s="21" t="s">
        <v>57</v>
      </c>
      <c r="H188" s="2">
        <v>1</v>
      </c>
      <c r="I188" s="2">
        <v>529</v>
      </c>
      <c r="J188" s="2">
        <v>0</v>
      </c>
      <c r="K188" s="21" t="s">
        <v>97</v>
      </c>
      <c r="L188" s="21" t="s">
        <v>12</v>
      </c>
      <c r="M188" s="21" t="s">
        <v>30</v>
      </c>
      <c r="N188" s="3">
        <v>45688</v>
      </c>
      <c r="O188" s="21" t="s">
        <v>58</v>
      </c>
      <c r="P188" s="21" t="s">
        <v>44</v>
      </c>
      <c r="Q188" s="21" t="s">
        <v>59</v>
      </c>
      <c r="R188" s="2">
        <v>260</v>
      </c>
      <c r="S188" s="2">
        <v>529</v>
      </c>
      <c r="T188" s="2">
        <v>269</v>
      </c>
      <c r="U188" s="4">
        <v>50.850661625708881</v>
      </c>
      <c r="V188" s="21" t="s">
        <v>281</v>
      </c>
      <c r="W188">
        <v>1</v>
      </c>
      <c r="X188">
        <v>6</v>
      </c>
      <c r="Y188" s="20">
        <v>1</v>
      </c>
    </row>
    <row r="189" spans="1:25" x14ac:dyDescent="0.3">
      <c r="A189" s="20" t="s">
        <v>353</v>
      </c>
      <c r="B189" s="21" t="s">
        <v>14</v>
      </c>
      <c r="C189" s="21" t="s">
        <v>377</v>
      </c>
      <c r="D189" s="3">
        <v>45700</v>
      </c>
      <c r="E189" s="21" t="s">
        <v>10</v>
      </c>
      <c r="F189" s="21" t="s">
        <v>11</v>
      </c>
      <c r="G189" s="21" t="s">
        <v>46</v>
      </c>
      <c r="H189" s="2">
        <v>3</v>
      </c>
      <c r="I189" s="2">
        <v>199</v>
      </c>
      <c r="J189" s="2">
        <v>30</v>
      </c>
      <c r="K189" s="21" t="s">
        <v>97</v>
      </c>
      <c r="L189" s="21" t="s">
        <v>12</v>
      </c>
      <c r="M189" s="21" t="s">
        <v>13</v>
      </c>
      <c r="N189" s="3">
        <v>44744</v>
      </c>
      <c r="O189" s="21" t="s">
        <v>47</v>
      </c>
      <c r="P189" s="21" t="s">
        <v>48</v>
      </c>
      <c r="Q189" s="21" t="s">
        <v>49</v>
      </c>
      <c r="R189" s="2">
        <v>95</v>
      </c>
      <c r="S189" s="2">
        <v>567</v>
      </c>
      <c r="T189" s="2">
        <v>282</v>
      </c>
      <c r="U189" s="4">
        <v>49.735449735449734</v>
      </c>
      <c r="V189" s="21" t="s">
        <v>281</v>
      </c>
      <c r="W189">
        <v>1</v>
      </c>
      <c r="X189">
        <v>32</v>
      </c>
      <c r="Y189" s="20">
        <v>1</v>
      </c>
    </row>
    <row r="190" spans="1:25" x14ac:dyDescent="0.3">
      <c r="A190" s="20" t="s">
        <v>353</v>
      </c>
      <c r="B190" s="21" t="s">
        <v>14</v>
      </c>
      <c r="C190" s="21" t="s">
        <v>378</v>
      </c>
      <c r="D190" s="3">
        <v>45700</v>
      </c>
      <c r="E190" s="21" t="s">
        <v>101</v>
      </c>
      <c r="F190" s="21" t="s">
        <v>170</v>
      </c>
      <c r="G190" s="21" t="s">
        <v>63</v>
      </c>
      <c r="H190" s="2">
        <v>2</v>
      </c>
      <c r="I190" s="2">
        <v>29</v>
      </c>
      <c r="J190" s="2">
        <v>0</v>
      </c>
      <c r="K190" s="21" t="s">
        <v>97</v>
      </c>
      <c r="L190" s="21" t="s">
        <v>265</v>
      </c>
      <c r="M190" s="21" t="s">
        <v>101</v>
      </c>
      <c r="N190" s="3"/>
      <c r="O190" s="21" t="s">
        <v>64</v>
      </c>
      <c r="P190" s="21" t="s">
        <v>52</v>
      </c>
      <c r="Q190" s="21" t="s">
        <v>62</v>
      </c>
      <c r="R190" s="2">
        <v>11</v>
      </c>
      <c r="S190" s="2">
        <v>58</v>
      </c>
      <c r="T190" s="2">
        <v>36</v>
      </c>
      <c r="U190" s="4">
        <v>62.068965517241381</v>
      </c>
      <c r="V190" s="21" t="s">
        <v>281</v>
      </c>
      <c r="W190">
        <v>1</v>
      </c>
      <c r="X190"/>
      <c r="Y190" s="20"/>
    </row>
    <row r="191" spans="1:25" x14ac:dyDescent="0.3">
      <c r="A191" s="20" t="s">
        <v>353</v>
      </c>
      <c r="B191" s="21" t="s">
        <v>14</v>
      </c>
      <c r="C191" s="21" t="s">
        <v>379</v>
      </c>
      <c r="D191" s="3">
        <v>45701</v>
      </c>
      <c r="E191" s="21" t="s">
        <v>28</v>
      </c>
      <c r="F191" s="21" t="s">
        <v>29</v>
      </c>
      <c r="G191" s="21" t="s">
        <v>75</v>
      </c>
      <c r="H191" s="2">
        <v>1</v>
      </c>
      <c r="I191" s="2">
        <v>599</v>
      </c>
      <c r="J191" s="2">
        <v>59.9</v>
      </c>
      <c r="K191" s="21" t="s">
        <v>97</v>
      </c>
      <c r="L191" s="21" t="s">
        <v>7</v>
      </c>
      <c r="M191" s="21" t="s">
        <v>30</v>
      </c>
      <c r="N191" s="3">
        <v>45211</v>
      </c>
      <c r="O191" s="21" t="s">
        <v>76</v>
      </c>
      <c r="P191" s="21" t="s">
        <v>44</v>
      </c>
      <c r="Q191" s="21" t="s">
        <v>59</v>
      </c>
      <c r="R191" s="2">
        <v>350</v>
      </c>
      <c r="S191" s="2">
        <v>539.1</v>
      </c>
      <c r="T191" s="2">
        <v>189.10000000000002</v>
      </c>
      <c r="U191" s="4">
        <v>35.076980152105364</v>
      </c>
      <c r="V191" s="21" t="s">
        <v>281</v>
      </c>
      <c r="W191">
        <v>1</v>
      </c>
      <c r="X191">
        <v>19</v>
      </c>
      <c r="Y191" s="20">
        <v>1</v>
      </c>
    </row>
    <row r="192" spans="1:25" x14ac:dyDescent="0.3">
      <c r="A192" s="20" t="s">
        <v>353</v>
      </c>
      <c r="B192" s="21" t="s">
        <v>14</v>
      </c>
      <c r="C192" s="21" t="s">
        <v>380</v>
      </c>
      <c r="D192" s="3">
        <v>45701</v>
      </c>
      <c r="E192" s="21" t="s">
        <v>5</v>
      </c>
      <c r="F192" s="21" t="s">
        <v>6</v>
      </c>
      <c r="G192" s="21" t="s">
        <v>68</v>
      </c>
      <c r="H192" s="2">
        <v>2</v>
      </c>
      <c r="I192" s="2">
        <v>229</v>
      </c>
      <c r="J192" s="2">
        <v>0</v>
      </c>
      <c r="K192" s="21" t="s">
        <v>97</v>
      </c>
      <c r="L192" s="21" t="s">
        <v>7</v>
      </c>
      <c r="M192" s="21" t="s">
        <v>8</v>
      </c>
      <c r="N192" s="3">
        <v>44635</v>
      </c>
      <c r="O192" s="21" t="s">
        <v>69</v>
      </c>
      <c r="P192" s="21" t="s">
        <v>44</v>
      </c>
      <c r="Q192" s="21" t="s">
        <v>70</v>
      </c>
      <c r="R192" s="2">
        <v>110</v>
      </c>
      <c r="S192" s="2">
        <v>458</v>
      </c>
      <c r="T192" s="2">
        <v>238</v>
      </c>
      <c r="U192" s="4">
        <v>51.965065502183407</v>
      </c>
      <c r="V192" s="21" t="s">
        <v>281</v>
      </c>
      <c r="W192">
        <v>1</v>
      </c>
      <c r="X192">
        <v>52</v>
      </c>
      <c r="Y192" s="20">
        <v>1</v>
      </c>
    </row>
    <row r="193" spans="1:25" x14ac:dyDescent="0.3">
      <c r="A193" s="20" t="s">
        <v>353</v>
      </c>
      <c r="B193" s="21" t="s">
        <v>14</v>
      </c>
      <c r="C193" s="21" t="s">
        <v>381</v>
      </c>
      <c r="D193" s="3">
        <v>45702</v>
      </c>
      <c r="E193" s="21" t="s">
        <v>101</v>
      </c>
      <c r="F193" s="21" t="s">
        <v>170</v>
      </c>
      <c r="G193" s="21" t="s">
        <v>71</v>
      </c>
      <c r="H193" s="2">
        <v>1</v>
      </c>
      <c r="I193" s="2">
        <v>459</v>
      </c>
      <c r="J193" s="2">
        <v>46</v>
      </c>
      <c r="K193" s="21" t="s">
        <v>97</v>
      </c>
      <c r="L193" s="21" t="s">
        <v>265</v>
      </c>
      <c r="M193" s="21" t="s">
        <v>101</v>
      </c>
      <c r="N193" s="3"/>
      <c r="O193" s="21" t="s">
        <v>72</v>
      </c>
      <c r="P193" s="21" t="s">
        <v>48</v>
      </c>
      <c r="Q193" s="21" t="s">
        <v>49</v>
      </c>
      <c r="R193" s="2">
        <v>210</v>
      </c>
      <c r="S193" s="2">
        <v>413</v>
      </c>
      <c r="T193" s="2">
        <v>203</v>
      </c>
      <c r="U193" s="4">
        <v>49.152542372881356</v>
      </c>
      <c r="V193" s="21" t="s">
        <v>281</v>
      </c>
      <c r="W193">
        <v>1</v>
      </c>
      <c r="X193"/>
      <c r="Y193" s="20"/>
    </row>
    <row r="194" spans="1:25" x14ac:dyDescent="0.3">
      <c r="A194" s="20" t="s">
        <v>353</v>
      </c>
      <c r="B194" s="21" t="s">
        <v>14</v>
      </c>
      <c r="C194" s="21" t="s">
        <v>382</v>
      </c>
      <c r="D194" s="3">
        <v>45702</v>
      </c>
      <c r="E194" s="21" t="s">
        <v>31</v>
      </c>
      <c r="F194" s="21" t="s">
        <v>32</v>
      </c>
      <c r="G194" s="21" t="s">
        <v>73</v>
      </c>
      <c r="H194" s="2">
        <v>4</v>
      </c>
      <c r="I194" s="2">
        <v>19</v>
      </c>
      <c r="J194" s="2">
        <v>0</v>
      </c>
      <c r="K194" s="21" t="s">
        <v>97</v>
      </c>
      <c r="L194" s="21" t="s">
        <v>20</v>
      </c>
      <c r="M194" s="21" t="s">
        <v>30</v>
      </c>
      <c r="N194" s="3">
        <v>45263</v>
      </c>
      <c r="O194" s="21" t="s">
        <v>74</v>
      </c>
      <c r="P194" s="21" t="s">
        <v>52</v>
      </c>
      <c r="Q194" s="21" t="s">
        <v>62</v>
      </c>
      <c r="R194" s="2">
        <v>8</v>
      </c>
      <c r="S194" s="2">
        <v>76</v>
      </c>
      <c r="T194" s="2">
        <v>44</v>
      </c>
      <c r="U194" s="4">
        <v>57.894736842105267</v>
      </c>
      <c r="V194" s="21" t="s">
        <v>281</v>
      </c>
      <c r="W194">
        <v>1</v>
      </c>
      <c r="X194">
        <v>20</v>
      </c>
      <c r="Y194" s="20">
        <v>1</v>
      </c>
    </row>
    <row r="195" spans="1:25" x14ac:dyDescent="0.3">
      <c r="A195" s="20" t="s">
        <v>353</v>
      </c>
      <c r="B195" s="21" t="s">
        <v>14</v>
      </c>
      <c r="C195" s="21" t="s">
        <v>383</v>
      </c>
      <c r="D195" s="3">
        <v>45703</v>
      </c>
      <c r="E195" s="21" t="s">
        <v>21</v>
      </c>
      <c r="F195" s="21" t="s">
        <v>22</v>
      </c>
      <c r="G195" s="21" t="s">
        <v>79</v>
      </c>
      <c r="H195" s="2">
        <v>2</v>
      </c>
      <c r="I195" s="2">
        <v>189</v>
      </c>
      <c r="J195" s="2">
        <v>0</v>
      </c>
      <c r="K195" s="21" t="s">
        <v>97</v>
      </c>
      <c r="L195" s="21" t="s">
        <v>7</v>
      </c>
      <c r="M195" s="21" t="s">
        <v>8</v>
      </c>
      <c r="N195" s="3">
        <v>44948</v>
      </c>
      <c r="O195" s="21" t="s">
        <v>80</v>
      </c>
      <c r="P195" s="21" t="s">
        <v>44</v>
      </c>
      <c r="Q195" s="21" t="s">
        <v>70</v>
      </c>
      <c r="R195" s="2">
        <v>95</v>
      </c>
      <c r="S195" s="2">
        <v>378</v>
      </c>
      <c r="T195" s="2">
        <v>188</v>
      </c>
      <c r="U195" s="4">
        <v>49.735449735449734</v>
      </c>
      <c r="V195" s="21" t="s">
        <v>281</v>
      </c>
      <c r="W195">
        <v>1</v>
      </c>
      <c r="X195">
        <v>32</v>
      </c>
      <c r="Y195" s="20">
        <v>1</v>
      </c>
    </row>
    <row r="196" spans="1:25" x14ac:dyDescent="0.3">
      <c r="A196" s="20" t="s">
        <v>353</v>
      </c>
      <c r="B196" s="21" t="s">
        <v>14</v>
      </c>
      <c r="C196" s="21" t="s">
        <v>384</v>
      </c>
      <c r="D196" s="3">
        <v>45704</v>
      </c>
      <c r="E196" s="21" t="s">
        <v>101</v>
      </c>
      <c r="F196" s="21" t="s">
        <v>170</v>
      </c>
      <c r="G196" s="21" t="s">
        <v>77</v>
      </c>
      <c r="H196" s="2">
        <v>1</v>
      </c>
      <c r="I196" s="2">
        <v>1099</v>
      </c>
      <c r="J196" s="2">
        <v>110</v>
      </c>
      <c r="K196" s="21" t="s">
        <v>97</v>
      </c>
      <c r="L196" s="21" t="s">
        <v>265</v>
      </c>
      <c r="M196" s="21" t="s">
        <v>101</v>
      </c>
      <c r="N196" s="3"/>
      <c r="O196" s="21" t="s">
        <v>78</v>
      </c>
      <c r="P196" s="21" t="s">
        <v>48</v>
      </c>
      <c r="Q196" s="21" t="s">
        <v>62</v>
      </c>
      <c r="R196" s="2">
        <v>650</v>
      </c>
      <c r="S196" s="2">
        <v>989</v>
      </c>
      <c r="T196" s="2">
        <v>339</v>
      </c>
      <c r="U196" s="4">
        <v>34.277047522750252</v>
      </c>
      <c r="V196" s="21" t="s">
        <v>281</v>
      </c>
      <c r="W196">
        <v>1</v>
      </c>
      <c r="X196"/>
      <c r="Y196" s="20"/>
    </row>
    <row r="197" spans="1:25" x14ac:dyDescent="0.3">
      <c r="A197" s="20" t="s">
        <v>353</v>
      </c>
      <c r="B197" s="21" t="s">
        <v>14</v>
      </c>
      <c r="C197" s="21" t="s">
        <v>385</v>
      </c>
      <c r="D197" s="3">
        <v>45704</v>
      </c>
      <c r="E197" s="21" t="s">
        <v>25</v>
      </c>
      <c r="F197" s="21" t="s">
        <v>26</v>
      </c>
      <c r="G197" s="21" t="s">
        <v>81</v>
      </c>
      <c r="H197" s="2">
        <v>1</v>
      </c>
      <c r="I197" s="2">
        <v>89</v>
      </c>
      <c r="J197" s="2">
        <v>0</v>
      </c>
      <c r="K197" s="21" t="s">
        <v>97</v>
      </c>
      <c r="L197" s="21" t="s">
        <v>27</v>
      </c>
      <c r="M197" s="21" t="s">
        <v>13</v>
      </c>
      <c r="N197" s="3">
        <v>45168</v>
      </c>
      <c r="O197" s="21" t="s">
        <v>82</v>
      </c>
      <c r="P197" s="21" t="s">
        <v>52</v>
      </c>
      <c r="Q197" s="21" t="s">
        <v>83</v>
      </c>
      <c r="R197" s="2">
        <v>42</v>
      </c>
      <c r="S197" s="2">
        <v>89</v>
      </c>
      <c r="T197" s="2">
        <v>47</v>
      </c>
      <c r="U197" s="4">
        <v>52.80898876404494</v>
      </c>
      <c r="V197" s="21" t="s">
        <v>281</v>
      </c>
      <c r="W197">
        <v>1</v>
      </c>
      <c r="X197">
        <v>46</v>
      </c>
      <c r="Y197" s="20">
        <v>1</v>
      </c>
    </row>
    <row r="198" spans="1:25" x14ac:dyDescent="0.3">
      <c r="A198" s="20" t="s">
        <v>353</v>
      </c>
      <c r="B198" s="21" t="s">
        <v>14</v>
      </c>
      <c r="C198" s="21" t="s">
        <v>386</v>
      </c>
      <c r="D198" s="3">
        <v>45705</v>
      </c>
      <c r="E198" s="21" t="s">
        <v>10</v>
      </c>
      <c r="F198" s="21" t="s">
        <v>11</v>
      </c>
      <c r="G198" s="21" t="s">
        <v>54</v>
      </c>
      <c r="H198" s="2">
        <v>1</v>
      </c>
      <c r="I198" s="2">
        <v>1299</v>
      </c>
      <c r="J198" s="2">
        <v>0</v>
      </c>
      <c r="K198" s="21" t="s">
        <v>97</v>
      </c>
      <c r="L198" s="21" t="s">
        <v>12</v>
      </c>
      <c r="M198" s="21" t="s">
        <v>13</v>
      </c>
      <c r="N198" s="3">
        <v>44744</v>
      </c>
      <c r="O198" s="21" t="s">
        <v>55</v>
      </c>
      <c r="P198" s="21" t="s">
        <v>44</v>
      </c>
      <c r="Q198" s="21" t="s">
        <v>56</v>
      </c>
      <c r="R198" s="2">
        <v>820</v>
      </c>
      <c r="S198" s="2">
        <v>1299</v>
      </c>
      <c r="T198" s="2">
        <v>479</v>
      </c>
      <c r="U198" s="4">
        <v>36.87451886066205</v>
      </c>
      <c r="V198" s="21" t="s">
        <v>281</v>
      </c>
      <c r="W198">
        <v>1</v>
      </c>
      <c r="X198">
        <v>32</v>
      </c>
      <c r="Y198" s="20">
        <v>1</v>
      </c>
    </row>
    <row r="199" spans="1:25" x14ac:dyDescent="0.3">
      <c r="A199" s="20" t="s">
        <v>353</v>
      </c>
      <c r="B199" s="21" t="s">
        <v>14</v>
      </c>
      <c r="C199" s="21" t="s">
        <v>387</v>
      </c>
      <c r="D199" s="3">
        <v>45705</v>
      </c>
      <c r="E199" s="21" t="s">
        <v>28</v>
      </c>
      <c r="F199" s="21" t="s">
        <v>29</v>
      </c>
      <c r="G199" s="21" t="s">
        <v>42</v>
      </c>
      <c r="H199" s="2">
        <v>2</v>
      </c>
      <c r="I199" s="2">
        <v>349</v>
      </c>
      <c r="J199" s="2">
        <v>34.9</v>
      </c>
      <c r="K199" s="21" t="s">
        <v>97</v>
      </c>
      <c r="L199" s="21" t="s">
        <v>7</v>
      </c>
      <c r="M199" s="21" t="s">
        <v>30</v>
      </c>
      <c r="N199" s="3">
        <v>45211</v>
      </c>
      <c r="O199" s="21" t="s">
        <v>43</v>
      </c>
      <c r="P199" s="21" t="s">
        <v>44</v>
      </c>
      <c r="Q199" s="21" t="s">
        <v>45</v>
      </c>
      <c r="R199" s="2">
        <v>165</v>
      </c>
      <c r="S199" s="2">
        <v>663.1</v>
      </c>
      <c r="T199" s="2">
        <v>333.1</v>
      </c>
      <c r="U199" s="4">
        <v>50.233750565525561</v>
      </c>
      <c r="V199" s="21" t="s">
        <v>281</v>
      </c>
      <c r="W199">
        <v>1</v>
      </c>
      <c r="X199">
        <v>19</v>
      </c>
      <c r="Y199" s="20">
        <v>1</v>
      </c>
    </row>
    <row r="200" spans="1:25" x14ac:dyDescent="0.3">
      <c r="A200" s="20" t="s">
        <v>353</v>
      </c>
      <c r="B200" s="21" t="s">
        <v>14</v>
      </c>
      <c r="C200" s="21" t="s">
        <v>388</v>
      </c>
      <c r="D200" s="3">
        <v>45706</v>
      </c>
      <c r="E200" s="21" t="s">
        <v>101</v>
      </c>
      <c r="F200" s="21" t="s">
        <v>170</v>
      </c>
      <c r="G200" s="21" t="s">
        <v>50</v>
      </c>
      <c r="H200" s="2">
        <v>3</v>
      </c>
      <c r="I200" s="2">
        <v>45</v>
      </c>
      <c r="J200" s="2">
        <v>0</v>
      </c>
      <c r="K200" s="21" t="s">
        <v>97</v>
      </c>
      <c r="L200" s="21" t="s">
        <v>265</v>
      </c>
      <c r="M200" s="21" t="s">
        <v>101</v>
      </c>
      <c r="N200" s="3"/>
      <c r="O200" s="21" t="s">
        <v>51</v>
      </c>
      <c r="P200" s="21" t="s">
        <v>52</v>
      </c>
      <c r="Q200" s="21" t="s">
        <v>53</v>
      </c>
      <c r="R200" s="2">
        <v>18</v>
      </c>
      <c r="S200" s="2">
        <v>135</v>
      </c>
      <c r="T200" s="2">
        <v>81</v>
      </c>
      <c r="U200" s="4">
        <v>60</v>
      </c>
      <c r="V200" s="21" t="s">
        <v>281</v>
      </c>
      <c r="W200">
        <v>1</v>
      </c>
      <c r="X200"/>
      <c r="Y200" s="20"/>
    </row>
    <row r="201" spans="1:25" x14ac:dyDescent="0.3">
      <c r="A201" s="20" t="s">
        <v>353</v>
      </c>
      <c r="B201" s="21" t="s">
        <v>14</v>
      </c>
      <c r="C201" s="21" t="s">
        <v>389</v>
      </c>
      <c r="D201" s="3">
        <v>45706</v>
      </c>
      <c r="E201" s="21" t="s">
        <v>5</v>
      </c>
      <c r="F201" s="21" t="s">
        <v>6</v>
      </c>
      <c r="G201" s="21" t="s">
        <v>60</v>
      </c>
      <c r="H201" s="2">
        <v>1</v>
      </c>
      <c r="I201" s="2">
        <v>899</v>
      </c>
      <c r="J201" s="2">
        <v>89.9</v>
      </c>
      <c r="K201" s="21" t="s">
        <v>97</v>
      </c>
      <c r="L201" s="21" t="s">
        <v>7</v>
      </c>
      <c r="M201" s="21" t="s">
        <v>8</v>
      </c>
      <c r="N201" s="3">
        <v>44635</v>
      </c>
      <c r="O201" s="21" t="s">
        <v>61</v>
      </c>
      <c r="P201" s="21" t="s">
        <v>48</v>
      </c>
      <c r="Q201" s="21" t="s">
        <v>62</v>
      </c>
      <c r="R201" s="2">
        <v>520</v>
      </c>
      <c r="S201" s="2">
        <v>809.1</v>
      </c>
      <c r="T201" s="2">
        <v>289.10000000000002</v>
      </c>
      <c r="U201" s="4">
        <v>35.731059201582006</v>
      </c>
      <c r="V201" s="21" t="s">
        <v>281</v>
      </c>
      <c r="W201">
        <v>1</v>
      </c>
      <c r="X201">
        <v>52</v>
      </c>
      <c r="Y201" s="20">
        <v>1</v>
      </c>
    </row>
    <row r="202" spans="1:25" x14ac:dyDescent="0.3">
      <c r="A202" s="20" t="s">
        <v>353</v>
      </c>
      <c r="B202" s="21" t="s">
        <v>14</v>
      </c>
      <c r="C202" s="21" t="s">
        <v>390</v>
      </c>
      <c r="D202" s="3">
        <v>45707</v>
      </c>
      <c r="E202" s="21" t="s">
        <v>31</v>
      </c>
      <c r="F202" s="21" t="s">
        <v>32</v>
      </c>
      <c r="G202" s="21" t="s">
        <v>65</v>
      </c>
      <c r="H202" s="2">
        <v>2</v>
      </c>
      <c r="I202" s="2">
        <v>749</v>
      </c>
      <c r="J202" s="2">
        <v>75</v>
      </c>
      <c r="K202" s="21" t="s">
        <v>97</v>
      </c>
      <c r="L202" s="21" t="s">
        <v>20</v>
      </c>
      <c r="M202" s="21" t="s">
        <v>30</v>
      </c>
      <c r="N202" s="3">
        <v>45263</v>
      </c>
      <c r="O202" s="21" t="s">
        <v>66</v>
      </c>
      <c r="P202" s="21" t="s">
        <v>44</v>
      </c>
      <c r="Q202" s="21" t="s">
        <v>67</v>
      </c>
      <c r="R202" s="2">
        <v>490</v>
      </c>
      <c r="S202" s="2">
        <v>1423</v>
      </c>
      <c r="T202" s="2">
        <v>443</v>
      </c>
      <c r="U202" s="4">
        <v>31.131412508784255</v>
      </c>
      <c r="V202" s="21" t="s">
        <v>281</v>
      </c>
      <c r="W202">
        <v>1</v>
      </c>
      <c r="X202">
        <v>20</v>
      </c>
      <c r="Y202" s="20">
        <v>1</v>
      </c>
    </row>
    <row r="203" spans="1:25" x14ac:dyDescent="0.3">
      <c r="A203" s="20" t="s">
        <v>353</v>
      </c>
      <c r="B203" s="21" t="s">
        <v>14</v>
      </c>
      <c r="C203" s="21" t="s">
        <v>391</v>
      </c>
      <c r="D203" s="3">
        <v>45707</v>
      </c>
      <c r="E203" s="21" t="s">
        <v>369</v>
      </c>
      <c r="F203" s="21" t="s">
        <v>370</v>
      </c>
      <c r="G203" s="21" t="s">
        <v>57</v>
      </c>
      <c r="H203" s="2">
        <v>1</v>
      </c>
      <c r="I203" s="2">
        <v>529</v>
      </c>
      <c r="J203" s="2">
        <v>52.9</v>
      </c>
      <c r="K203" s="21" t="s">
        <v>97</v>
      </c>
      <c r="L203" s="21" t="s">
        <v>12</v>
      </c>
      <c r="M203" s="21" t="s">
        <v>30</v>
      </c>
      <c r="N203" s="3">
        <v>45688</v>
      </c>
      <c r="O203" s="21" t="s">
        <v>58</v>
      </c>
      <c r="P203" s="21" t="s">
        <v>44</v>
      </c>
      <c r="Q203" s="21" t="s">
        <v>59</v>
      </c>
      <c r="R203" s="2">
        <v>260</v>
      </c>
      <c r="S203" s="2">
        <v>476.1</v>
      </c>
      <c r="T203" s="2">
        <v>216.10000000000002</v>
      </c>
      <c r="U203" s="4">
        <v>45.389624028565429</v>
      </c>
      <c r="V203" s="21" t="s">
        <v>281</v>
      </c>
      <c r="W203">
        <v>1</v>
      </c>
      <c r="X203">
        <v>6</v>
      </c>
      <c r="Y203" s="20">
        <v>1</v>
      </c>
    </row>
    <row r="204" spans="1:25" x14ac:dyDescent="0.3">
      <c r="A204" s="20" t="s">
        <v>353</v>
      </c>
      <c r="B204" s="21" t="s">
        <v>14</v>
      </c>
      <c r="C204" s="21" t="s">
        <v>392</v>
      </c>
      <c r="D204" s="3">
        <v>45708</v>
      </c>
      <c r="E204" s="21" t="s">
        <v>101</v>
      </c>
      <c r="F204" s="21" t="s">
        <v>170</v>
      </c>
      <c r="G204" s="21" t="s">
        <v>63</v>
      </c>
      <c r="H204" s="2">
        <v>4</v>
      </c>
      <c r="I204" s="2">
        <v>29</v>
      </c>
      <c r="J204" s="2">
        <v>0</v>
      </c>
      <c r="K204" s="21" t="s">
        <v>97</v>
      </c>
      <c r="L204" s="21" t="s">
        <v>265</v>
      </c>
      <c r="M204" s="21" t="s">
        <v>101</v>
      </c>
      <c r="N204" s="3"/>
      <c r="O204" s="21" t="s">
        <v>64</v>
      </c>
      <c r="P204" s="21" t="s">
        <v>52</v>
      </c>
      <c r="Q204" s="21" t="s">
        <v>62</v>
      </c>
      <c r="R204" s="2">
        <v>11</v>
      </c>
      <c r="S204" s="2">
        <v>116</v>
      </c>
      <c r="T204" s="2">
        <v>72</v>
      </c>
      <c r="U204" s="4">
        <v>62.068965517241381</v>
      </c>
      <c r="V204" s="21" t="s">
        <v>281</v>
      </c>
      <c r="W204">
        <v>1</v>
      </c>
      <c r="X204"/>
      <c r="Y204" s="20"/>
    </row>
    <row r="205" spans="1:25" x14ac:dyDescent="0.3">
      <c r="A205" s="20" t="s">
        <v>353</v>
      </c>
      <c r="B205" s="21" t="s">
        <v>14</v>
      </c>
      <c r="C205" s="21" t="s">
        <v>393</v>
      </c>
      <c r="D205" s="3">
        <v>45708</v>
      </c>
      <c r="E205" s="21" t="s">
        <v>21</v>
      </c>
      <c r="F205" s="21" t="s">
        <v>22</v>
      </c>
      <c r="G205" s="21" t="s">
        <v>46</v>
      </c>
      <c r="H205" s="2">
        <v>2</v>
      </c>
      <c r="I205" s="2">
        <v>199</v>
      </c>
      <c r="J205" s="2">
        <v>20</v>
      </c>
      <c r="K205" s="21" t="s">
        <v>97</v>
      </c>
      <c r="L205" s="21" t="s">
        <v>7</v>
      </c>
      <c r="M205" s="21" t="s">
        <v>8</v>
      </c>
      <c r="N205" s="3">
        <v>44948</v>
      </c>
      <c r="O205" s="21" t="s">
        <v>47</v>
      </c>
      <c r="P205" s="21" t="s">
        <v>48</v>
      </c>
      <c r="Q205" s="21" t="s">
        <v>49</v>
      </c>
      <c r="R205" s="2">
        <v>95</v>
      </c>
      <c r="S205" s="2">
        <v>378</v>
      </c>
      <c r="T205" s="2">
        <v>188</v>
      </c>
      <c r="U205" s="4">
        <v>49.735449735449734</v>
      </c>
      <c r="V205" s="21" t="s">
        <v>281</v>
      </c>
      <c r="W205">
        <v>1</v>
      </c>
      <c r="X205">
        <v>32</v>
      </c>
      <c r="Y205" s="20">
        <v>1</v>
      </c>
    </row>
    <row r="206" spans="1:25" x14ac:dyDescent="0.3">
      <c r="A206" s="20" t="s">
        <v>353</v>
      </c>
      <c r="B206" s="21" t="s">
        <v>14</v>
      </c>
      <c r="C206" s="21" t="s">
        <v>394</v>
      </c>
      <c r="D206" s="3">
        <v>45709</v>
      </c>
      <c r="E206" s="21" t="s">
        <v>25</v>
      </c>
      <c r="F206" s="21" t="s">
        <v>26</v>
      </c>
      <c r="G206" s="21" t="s">
        <v>75</v>
      </c>
      <c r="H206" s="2">
        <v>1</v>
      </c>
      <c r="I206" s="2">
        <v>599</v>
      </c>
      <c r="J206" s="2">
        <v>0</v>
      </c>
      <c r="K206" s="21" t="s">
        <v>97</v>
      </c>
      <c r="L206" s="21" t="s">
        <v>27</v>
      </c>
      <c r="M206" s="21" t="s">
        <v>13</v>
      </c>
      <c r="N206" s="3">
        <v>45168</v>
      </c>
      <c r="O206" s="21" t="s">
        <v>76</v>
      </c>
      <c r="P206" s="21" t="s">
        <v>44</v>
      </c>
      <c r="Q206" s="21" t="s">
        <v>59</v>
      </c>
      <c r="R206" s="2">
        <v>350</v>
      </c>
      <c r="S206" s="2">
        <v>599</v>
      </c>
      <c r="T206" s="2">
        <v>249</v>
      </c>
      <c r="U206" s="4">
        <v>41.569282136894827</v>
      </c>
      <c r="V206" s="21" t="s">
        <v>281</v>
      </c>
      <c r="W206">
        <v>1</v>
      </c>
      <c r="X206">
        <v>46</v>
      </c>
      <c r="Y206" s="20">
        <v>1</v>
      </c>
    </row>
    <row r="207" spans="1:25" x14ac:dyDescent="0.3">
      <c r="A207" s="20" t="s">
        <v>353</v>
      </c>
      <c r="B207" s="21" t="s">
        <v>14</v>
      </c>
      <c r="C207" s="21" t="s">
        <v>395</v>
      </c>
      <c r="D207" s="3">
        <v>45709</v>
      </c>
      <c r="E207" s="21" t="s">
        <v>10</v>
      </c>
      <c r="F207" s="21" t="s">
        <v>11</v>
      </c>
      <c r="G207" s="21" t="s">
        <v>68</v>
      </c>
      <c r="H207" s="2">
        <v>1</v>
      </c>
      <c r="I207" s="2">
        <v>229</v>
      </c>
      <c r="J207" s="2">
        <v>22.9</v>
      </c>
      <c r="K207" s="21" t="s">
        <v>97</v>
      </c>
      <c r="L207" s="21" t="s">
        <v>12</v>
      </c>
      <c r="M207" s="21" t="s">
        <v>13</v>
      </c>
      <c r="N207" s="3">
        <v>44744</v>
      </c>
      <c r="O207" s="21" t="s">
        <v>69</v>
      </c>
      <c r="P207" s="21" t="s">
        <v>44</v>
      </c>
      <c r="Q207" s="21" t="s">
        <v>70</v>
      </c>
      <c r="R207" s="2">
        <v>110</v>
      </c>
      <c r="S207" s="2">
        <v>206.1</v>
      </c>
      <c r="T207" s="2">
        <v>96.1</v>
      </c>
      <c r="U207" s="4">
        <v>46.62785055798156</v>
      </c>
      <c r="V207" s="21" t="s">
        <v>281</v>
      </c>
      <c r="W207">
        <v>1</v>
      </c>
      <c r="X207">
        <v>32</v>
      </c>
      <c r="Y207" s="20">
        <v>1</v>
      </c>
    </row>
    <row r="208" spans="1:25" x14ac:dyDescent="0.3">
      <c r="A208" s="20" t="s">
        <v>353</v>
      </c>
      <c r="B208" s="21" t="s">
        <v>14</v>
      </c>
      <c r="C208" s="21" t="s">
        <v>396</v>
      </c>
      <c r="D208" s="3">
        <v>45710</v>
      </c>
      <c r="E208" s="21" t="s">
        <v>101</v>
      </c>
      <c r="F208" s="21" t="s">
        <v>170</v>
      </c>
      <c r="G208" s="21" t="s">
        <v>71</v>
      </c>
      <c r="H208" s="2">
        <v>1</v>
      </c>
      <c r="I208" s="2">
        <v>459</v>
      </c>
      <c r="J208" s="2">
        <v>0</v>
      </c>
      <c r="K208" s="21" t="s">
        <v>97</v>
      </c>
      <c r="L208" s="21" t="s">
        <v>265</v>
      </c>
      <c r="M208" s="21" t="s">
        <v>101</v>
      </c>
      <c r="N208" s="3"/>
      <c r="O208" s="21" t="s">
        <v>72</v>
      </c>
      <c r="P208" s="21" t="s">
        <v>48</v>
      </c>
      <c r="Q208" s="21" t="s">
        <v>49</v>
      </c>
      <c r="R208" s="2">
        <v>210</v>
      </c>
      <c r="S208" s="2">
        <v>459</v>
      </c>
      <c r="T208" s="2">
        <v>249</v>
      </c>
      <c r="U208" s="4">
        <v>54.248366013071895</v>
      </c>
      <c r="V208" s="21" t="s">
        <v>281</v>
      </c>
      <c r="W208">
        <v>1</v>
      </c>
      <c r="X208"/>
      <c r="Y208" s="20"/>
    </row>
    <row r="209" spans="1:25" x14ac:dyDescent="0.3">
      <c r="A209" s="20" t="s">
        <v>353</v>
      </c>
      <c r="B209" s="21" t="s">
        <v>14</v>
      </c>
      <c r="C209" s="21" t="s">
        <v>397</v>
      </c>
      <c r="D209" s="3">
        <v>45710</v>
      </c>
      <c r="E209" s="21" t="s">
        <v>28</v>
      </c>
      <c r="F209" s="21" t="s">
        <v>29</v>
      </c>
      <c r="G209" s="21" t="s">
        <v>73</v>
      </c>
      <c r="H209" s="2">
        <v>3</v>
      </c>
      <c r="I209" s="2">
        <v>19</v>
      </c>
      <c r="J209" s="2">
        <v>0</v>
      </c>
      <c r="K209" s="21" t="s">
        <v>97</v>
      </c>
      <c r="L209" s="21" t="s">
        <v>7</v>
      </c>
      <c r="M209" s="21" t="s">
        <v>30</v>
      </c>
      <c r="N209" s="3">
        <v>45211</v>
      </c>
      <c r="O209" s="21" t="s">
        <v>74</v>
      </c>
      <c r="P209" s="21" t="s">
        <v>52</v>
      </c>
      <c r="Q209" s="21" t="s">
        <v>62</v>
      </c>
      <c r="R209" s="2">
        <v>8</v>
      </c>
      <c r="S209" s="2">
        <v>57</v>
      </c>
      <c r="T209" s="2">
        <v>33</v>
      </c>
      <c r="U209" s="4">
        <v>57.894736842105267</v>
      </c>
      <c r="V209" s="21" t="s">
        <v>281</v>
      </c>
      <c r="W209">
        <v>1</v>
      </c>
      <c r="X209">
        <v>19</v>
      </c>
      <c r="Y209" s="20">
        <v>1</v>
      </c>
    </row>
    <row r="210" spans="1:25" x14ac:dyDescent="0.3">
      <c r="A210" s="20" t="s">
        <v>353</v>
      </c>
      <c r="B210" s="21" t="s">
        <v>14</v>
      </c>
      <c r="C210" s="21" t="s">
        <v>398</v>
      </c>
      <c r="D210" s="3">
        <v>45711</v>
      </c>
      <c r="E210" s="21" t="s">
        <v>5</v>
      </c>
      <c r="F210" s="21" t="s">
        <v>6</v>
      </c>
      <c r="G210" s="21" t="s">
        <v>84</v>
      </c>
      <c r="H210" s="2">
        <v>1</v>
      </c>
      <c r="I210" s="2">
        <v>2199</v>
      </c>
      <c r="J210" s="2">
        <v>220</v>
      </c>
      <c r="K210" s="21" t="s">
        <v>97</v>
      </c>
      <c r="L210" s="21" t="s">
        <v>7</v>
      </c>
      <c r="M210" s="21" t="s">
        <v>8</v>
      </c>
      <c r="N210" s="3">
        <v>44635</v>
      </c>
      <c r="O210" s="21" t="s">
        <v>85</v>
      </c>
      <c r="P210" s="21" t="s">
        <v>44</v>
      </c>
      <c r="Q210" s="21" t="s">
        <v>56</v>
      </c>
      <c r="R210" s="2">
        <v>1380</v>
      </c>
      <c r="S210" s="2">
        <v>1979</v>
      </c>
      <c r="T210" s="2">
        <v>599</v>
      </c>
      <c r="U210" s="4">
        <v>30.267812026275898</v>
      </c>
      <c r="V210" s="21" t="s">
        <v>281</v>
      </c>
      <c r="W210">
        <v>1</v>
      </c>
      <c r="X210">
        <v>52</v>
      </c>
      <c r="Y210" s="20">
        <v>1</v>
      </c>
    </row>
    <row r="211" spans="1:25" x14ac:dyDescent="0.3">
      <c r="A211" s="20" t="s">
        <v>353</v>
      </c>
      <c r="B211" s="21" t="s">
        <v>14</v>
      </c>
      <c r="C211" s="21" t="s">
        <v>399</v>
      </c>
      <c r="D211" s="3">
        <v>45711</v>
      </c>
      <c r="E211" s="21" t="s">
        <v>31</v>
      </c>
      <c r="F211" s="21" t="s">
        <v>32</v>
      </c>
      <c r="G211" s="21" t="s">
        <v>79</v>
      </c>
      <c r="H211" s="2">
        <v>1</v>
      </c>
      <c r="I211" s="2">
        <v>189</v>
      </c>
      <c r="J211" s="2">
        <v>19</v>
      </c>
      <c r="K211" s="21" t="s">
        <v>97</v>
      </c>
      <c r="L211" s="21" t="s">
        <v>20</v>
      </c>
      <c r="M211" s="21" t="s">
        <v>30</v>
      </c>
      <c r="N211" s="3">
        <v>45263</v>
      </c>
      <c r="O211" s="21" t="s">
        <v>80</v>
      </c>
      <c r="P211" s="21" t="s">
        <v>44</v>
      </c>
      <c r="Q211" s="21" t="s">
        <v>70</v>
      </c>
      <c r="R211" s="2">
        <v>95</v>
      </c>
      <c r="S211" s="2">
        <v>170</v>
      </c>
      <c r="T211" s="2">
        <v>75</v>
      </c>
      <c r="U211" s="4">
        <v>44.117647058823529</v>
      </c>
      <c r="V211" s="21" t="s">
        <v>281</v>
      </c>
      <c r="W211">
        <v>1</v>
      </c>
      <c r="X211">
        <v>20</v>
      </c>
      <c r="Y211" s="20">
        <v>1</v>
      </c>
    </row>
    <row r="212" spans="1:25" x14ac:dyDescent="0.3">
      <c r="A212" s="20" t="s">
        <v>353</v>
      </c>
      <c r="B212" s="21" t="s">
        <v>14</v>
      </c>
      <c r="C212" s="21" t="s">
        <v>400</v>
      </c>
      <c r="D212" s="3">
        <v>45712</v>
      </c>
      <c r="E212" s="21" t="s">
        <v>101</v>
      </c>
      <c r="F212" s="21" t="s">
        <v>170</v>
      </c>
      <c r="G212" s="21" t="s">
        <v>81</v>
      </c>
      <c r="H212" s="2">
        <v>2</v>
      </c>
      <c r="I212" s="2">
        <v>89</v>
      </c>
      <c r="J212" s="2">
        <v>8.9</v>
      </c>
      <c r="K212" s="21" t="s">
        <v>97</v>
      </c>
      <c r="L212" s="21" t="s">
        <v>265</v>
      </c>
      <c r="M212" s="21" t="s">
        <v>101</v>
      </c>
      <c r="N212" s="3"/>
      <c r="O212" s="21" t="s">
        <v>82</v>
      </c>
      <c r="P212" s="21" t="s">
        <v>52</v>
      </c>
      <c r="Q212" s="21" t="s">
        <v>83</v>
      </c>
      <c r="R212" s="2">
        <v>42</v>
      </c>
      <c r="S212" s="2">
        <v>169.1</v>
      </c>
      <c r="T212" s="2">
        <v>85.1</v>
      </c>
      <c r="U212" s="4">
        <v>50.325251330573629</v>
      </c>
      <c r="V212" s="21" t="s">
        <v>281</v>
      </c>
      <c r="W212">
        <v>1</v>
      </c>
      <c r="X212"/>
      <c r="Y212" s="20"/>
    </row>
    <row r="213" spans="1:25" x14ac:dyDescent="0.3">
      <c r="A213" s="20" t="s">
        <v>353</v>
      </c>
      <c r="B213" s="21" t="s">
        <v>14</v>
      </c>
      <c r="C213" s="21" t="s">
        <v>401</v>
      </c>
      <c r="D213" s="3">
        <v>45712</v>
      </c>
      <c r="E213" s="21" t="s">
        <v>369</v>
      </c>
      <c r="F213" s="21" t="s">
        <v>370</v>
      </c>
      <c r="G213" s="21" t="s">
        <v>77</v>
      </c>
      <c r="H213" s="2">
        <v>1</v>
      </c>
      <c r="I213" s="2">
        <v>1099</v>
      </c>
      <c r="J213" s="2">
        <v>110</v>
      </c>
      <c r="K213" s="21" t="s">
        <v>97</v>
      </c>
      <c r="L213" s="21" t="s">
        <v>12</v>
      </c>
      <c r="M213" s="21" t="s">
        <v>30</v>
      </c>
      <c r="N213" s="3">
        <v>45688</v>
      </c>
      <c r="O213" s="21" t="s">
        <v>78</v>
      </c>
      <c r="P213" s="21" t="s">
        <v>48</v>
      </c>
      <c r="Q213" s="21" t="s">
        <v>62</v>
      </c>
      <c r="R213" s="2">
        <v>650</v>
      </c>
      <c r="S213" s="2">
        <v>989</v>
      </c>
      <c r="T213" s="2">
        <v>339</v>
      </c>
      <c r="U213" s="4">
        <v>34.277047522750252</v>
      </c>
      <c r="V213" s="21" t="s">
        <v>281</v>
      </c>
      <c r="W213">
        <v>1</v>
      </c>
      <c r="X213">
        <v>6</v>
      </c>
      <c r="Y213" s="20">
        <v>1</v>
      </c>
    </row>
    <row r="214" spans="1:25" x14ac:dyDescent="0.3">
      <c r="A214" s="20" t="s">
        <v>353</v>
      </c>
      <c r="B214" s="21" t="s">
        <v>14</v>
      </c>
      <c r="C214" s="21" t="s">
        <v>402</v>
      </c>
      <c r="D214" s="3">
        <v>45713</v>
      </c>
      <c r="E214" s="21" t="s">
        <v>21</v>
      </c>
      <c r="F214" s="21" t="s">
        <v>22</v>
      </c>
      <c r="G214" s="21" t="s">
        <v>54</v>
      </c>
      <c r="H214" s="2">
        <v>1</v>
      </c>
      <c r="I214" s="2">
        <v>1299</v>
      </c>
      <c r="J214" s="2">
        <v>130</v>
      </c>
      <c r="K214" s="21" t="s">
        <v>97</v>
      </c>
      <c r="L214" s="21" t="s">
        <v>7</v>
      </c>
      <c r="M214" s="21" t="s">
        <v>8</v>
      </c>
      <c r="N214" s="3">
        <v>44948</v>
      </c>
      <c r="O214" s="21" t="s">
        <v>55</v>
      </c>
      <c r="P214" s="21" t="s">
        <v>44</v>
      </c>
      <c r="Q214" s="21" t="s">
        <v>56</v>
      </c>
      <c r="R214" s="2">
        <v>820</v>
      </c>
      <c r="S214" s="2">
        <v>1169</v>
      </c>
      <c r="T214" s="2">
        <v>349</v>
      </c>
      <c r="U214" s="4">
        <v>29.854576561163388</v>
      </c>
      <c r="V214" s="21" t="s">
        <v>281</v>
      </c>
      <c r="W214">
        <v>1</v>
      </c>
      <c r="X214">
        <v>32</v>
      </c>
      <c r="Y214" s="20">
        <v>1</v>
      </c>
    </row>
    <row r="215" spans="1:25" x14ac:dyDescent="0.3">
      <c r="A215" s="20" t="s">
        <v>353</v>
      </c>
      <c r="B215" s="21" t="s">
        <v>14</v>
      </c>
      <c r="C215" s="21" t="s">
        <v>403</v>
      </c>
      <c r="D215" s="3">
        <v>45713</v>
      </c>
      <c r="E215" s="21" t="s">
        <v>25</v>
      </c>
      <c r="F215" s="21" t="s">
        <v>26</v>
      </c>
      <c r="G215" s="21" t="s">
        <v>42</v>
      </c>
      <c r="H215" s="2">
        <v>2</v>
      </c>
      <c r="I215" s="2">
        <v>349</v>
      </c>
      <c r="J215" s="2">
        <v>0</v>
      </c>
      <c r="K215" s="21" t="s">
        <v>97</v>
      </c>
      <c r="L215" s="21" t="s">
        <v>27</v>
      </c>
      <c r="M215" s="21" t="s">
        <v>13</v>
      </c>
      <c r="N215" s="3">
        <v>45168</v>
      </c>
      <c r="O215" s="21" t="s">
        <v>43</v>
      </c>
      <c r="P215" s="21" t="s">
        <v>44</v>
      </c>
      <c r="Q215" s="21" t="s">
        <v>45</v>
      </c>
      <c r="R215" s="2">
        <v>165</v>
      </c>
      <c r="S215" s="2">
        <v>698</v>
      </c>
      <c r="T215" s="2">
        <v>368</v>
      </c>
      <c r="U215" s="4">
        <v>52.722063037249278</v>
      </c>
      <c r="V215" s="21" t="s">
        <v>281</v>
      </c>
      <c r="W215">
        <v>1</v>
      </c>
      <c r="X215">
        <v>46</v>
      </c>
      <c r="Y215" s="20">
        <v>1</v>
      </c>
    </row>
    <row r="216" spans="1:25" x14ac:dyDescent="0.3">
      <c r="A216" s="20" t="s">
        <v>353</v>
      </c>
      <c r="B216" s="21" t="s">
        <v>14</v>
      </c>
      <c r="C216" s="21" t="s">
        <v>404</v>
      </c>
      <c r="D216" s="3">
        <v>45714</v>
      </c>
      <c r="E216" s="21" t="s">
        <v>101</v>
      </c>
      <c r="F216" s="21" t="s">
        <v>170</v>
      </c>
      <c r="G216" s="21" t="s">
        <v>50</v>
      </c>
      <c r="H216" s="2">
        <v>2</v>
      </c>
      <c r="I216" s="2">
        <v>45</v>
      </c>
      <c r="J216" s="2">
        <v>0</v>
      </c>
      <c r="K216" s="21" t="s">
        <v>97</v>
      </c>
      <c r="L216" s="21" t="s">
        <v>265</v>
      </c>
      <c r="M216" s="21" t="s">
        <v>101</v>
      </c>
      <c r="N216" s="3"/>
      <c r="O216" s="21" t="s">
        <v>51</v>
      </c>
      <c r="P216" s="21" t="s">
        <v>52</v>
      </c>
      <c r="Q216" s="21" t="s">
        <v>53</v>
      </c>
      <c r="R216" s="2">
        <v>18</v>
      </c>
      <c r="S216" s="2">
        <v>90</v>
      </c>
      <c r="T216" s="2">
        <v>54</v>
      </c>
      <c r="U216" s="4">
        <v>60</v>
      </c>
      <c r="V216" s="21" t="s">
        <v>281</v>
      </c>
      <c r="W216">
        <v>1</v>
      </c>
      <c r="X216"/>
      <c r="Y216" s="20"/>
    </row>
    <row r="217" spans="1:25" x14ac:dyDescent="0.3">
      <c r="A217" s="20" t="s">
        <v>353</v>
      </c>
      <c r="B217" s="21" t="s">
        <v>14</v>
      </c>
      <c r="C217" s="21" t="s">
        <v>405</v>
      </c>
      <c r="D217" s="3">
        <v>45714</v>
      </c>
      <c r="E217" s="21" t="s">
        <v>10</v>
      </c>
      <c r="F217" s="21" t="s">
        <v>11</v>
      </c>
      <c r="G217" s="21" t="s">
        <v>60</v>
      </c>
      <c r="H217" s="2">
        <v>1</v>
      </c>
      <c r="I217" s="2">
        <v>899</v>
      </c>
      <c r="J217" s="2">
        <v>0</v>
      </c>
      <c r="K217" s="21" t="s">
        <v>97</v>
      </c>
      <c r="L217" s="21" t="s">
        <v>12</v>
      </c>
      <c r="M217" s="21" t="s">
        <v>13</v>
      </c>
      <c r="N217" s="3">
        <v>44744</v>
      </c>
      <c r="O217" s="21" t="s">
        <v>61</v>
      </c>
      <c r="P217" s="21" t="s">
        <v>48</v>
      </c>
      <c r="Q217" s="21" t="s">
        <v>62</v>
      </c>
      <c r="R217" s="2">
        <v>520</v>
      </c>
      <c r="S217" s="2">
        <v>899</v>
      </c>
      <c r="T217" s="2">
        <v>379</v>
      </c>
      <c r="U217" s="4">
        <v>42.157953281423808</v>
      </c>
      <c r="V217" s="21" t="s">
        <v>281</v>
      </c>
      <c r="W217">
        <v>1</v>
      </c>
      <c r="X217">
        <v>32</v>
      </c>
      <c r="Y217" s="20">
        <v>1</v>
      </c>
    </row>
    <row r="218" spans="1:25" x14ac:dyDescent="0.3">
      <c r="A218" s="20" t="s">
        <v>353</v>
      </c>
      <c r="B218" s="21" t="s">
        <v>14</v>
      </c>
      <c r="C218" s="21" t="s">
        <v>406</v>
      </c>
      <c r="D218" s="3">
        <v>45715</v>
      </c>
      <c r="E218" s="21" t="s">
        <v>28</v>
      </c>
      <c r="F218" s="21" t="s">
        <v>29</v>
      </c>
      <c r="G218" s="21" t="s">
        <v>65</v>
      </c>
      <c r="H218" s="2">
        <v>1</v>
      </c>
      <c r="I218" s="2">
        <v>749</v>
      </c>
      <c r="J218" s="2">
        <v>74.900000000000006</v>
      </c>
      <c r="K218" s="21" t="s">
        <v>97</v>
      </c>
      <c r="L218" s="21" t="s">
        <v>7</v>
      </c>
      <c r="M218" s="21" t="s">
        <v>30</v>
      </c>
      <c r="N218" s="3">
        <v>45211</v>
      </c>
      <c r="O218" s="21" t="s">
        <v>66</v>
      </c>
      <c r="P218" s="21" t="s">
        <v>44</v>
      </c>
      <c r="Q218" s="21" t="s">
        <v>67</v>
      </c>
      <c r="R218" s="2">
        <v>490</v>
      </c>
      <c r="S218" s="2">
        <v>674.1</v>
      </c>
      <c r="T218" s="2">
        <v>184.10000000000002</v>
      </c>
      <c r="U218" s="4">
        <v>27.310488058151609</v>
      </c>
      <c r="V218" s="21" t="s">
        <v>281</v>
      </c>
      <c r="W218">
        <v>1</v>
      </c>
      <c r="X218">
        <v>19</v>
      </c>
      <c r="Y218" s="20">
        <v>1</v>
      </c>
    </row>
    <row r="219" spans="1:25" x14ac:dyDescent="0.3">
      <c r="A219" s="20" t="s">
        <v>353</v>
      </c>
      <c r="B219" s="21" t="s">
        <v>14</v>
      </c>
      <c r="C219" s="21" t="s">
        <v>407</v>
      </c>
      <c r="D219" s="3">
        <v>45715</v>
      </c>
      <c r="E219" s="21" t="s">
        <v>5</v>
      </c>
      <c r="F219" s="21" t="s">
        <v>6</v>
      </c>
      <c r="G219" s="21" t="s">
        <v>57</v>
      </c>
      <c r="H219" s="2">
        <v>2</v>
      </c>
      <c r="I219" s="2">
        <v>529</v>
      </c>
      <c r="J219" s="2">
        <v>53</v>
      </c>
      <c r="K219" s="21" t="s">
        <v>97</v>
      </c>
      <c r="L219" s="21" t="s">
        <v>7</v>
      </c>
      <c r="M219" s="21" t="s">
        <v>8</v>
      </c>
      <c r="N219" s="3">
        <v>44635</v>
      </c>
      <c r="O219" s="21" t="s">
        <v>58</v>
      </c>
      <c r="P219" s="21" t="s">
        <v>44</v>
      </c>
      <c r="Q219" s="21" t="s">
        <v>59</v>
      </c>
      <c r="R219" s="2">
        <v>260</v>
      </c>
      <c r="S219" s="2">
        <v>1005</v>
      </c>
      <c r="T219" s="2">
        <v>485</v>
      </c>
      <c r="U219" s="4">
        <v>48.258706467661696</v>
      </c>
      <c r="V219" s="21" t="s">
        <v>281</v>
      </c>
      <c r="W219">
        <v>1</v>
      </c>
      <c r="X219">
        <v>52</v>
      </c>
      <c r="Y219" s="20">
        <v>1</v>
      </c>
    </row>
    <row r="220" spans="1:25" x14ac:dyDescent="0.3">
      <c r="A220" s="20" t="s">
        <v>353</v>
      </c>
      <c r="B220" s="21" t="s">
        <v>14</v>
      </c>
      <c r="C220" s="21" t="s">
        <v>408</v>
      </c>
      <c r="D220" s="3">
        <v>45716</v>
      </c>
      <c r="E220" s="21" t="s">
        <v>101</v>
      </c>
      <c r="F220" s="21" t="s">
        <v>170</v>
      </c>
      <c r="G220" s="21" t="s">
        <v>63</v>
      </c>
      <c r="H220" s="2">
        <v>3</v>
      </c>
      <c r="I220" s="2">
        <v>29</v>
      </c>
      <c r="J220" s="2">
        <v>0</v>
      </c>
      <c r="K220" s="21" t="s">
        <v>97</v>
      </c>
      <c r="L220" s="21" t="s">
        <v>265</v>
      </c>
      <c r="M220" s="21" t="s">
        <v>101</v>
      </c>
      <c r="N220" s="3"/>
      <c r="O220" s="21" t="s">
        <v>64</v>
      </c>
      <c r="P220" s="21" t="s">
        <v>52</v>
      </c>
      <c r="Q220" s="21" t="s">
        <v>62</v>
      </c>
      <c r="R220" s="2">
        <v>11</v>
      </c>
      <c r="S220" s="2">
        <v>87</v>
      </c>
      <c r="T220" s="2">
        <v>54</v>
      </c>
      <c r="U220" s="4">
        <v>62.068965517241381</v>
      </c>
      <c r="V220" s="21" t="s">
        <v>281</v>
      </c>
      <c r="W220">
        <v>1</v>
      </c>
      <c r="X220"/>
      <c r="Y220" s="20"/>
    </row>
    <row r="221" spans="1:25" x14ac:dyDescent="0.3">
      <c r="A221" s="20" t="s">
        <v>353</v>
      </c>
      <c r="B221" s="21" t="s">
        <v>14</v>
      </c>
      <c r="C221" s="21" t="s">
        <v>409</v>
      </c>
      <c r="D221" s="3">
        <v>45716</v>
      </c>
      <c r="E221" s="21" t="s">
        <v>31</v>
      </c>
      <c r="F221" s="21" t="s">
        <v>32</v>
      </c>
      <c r="G221" s="21" t="s">
        <v>46</v>
      </c>
      <c r="H221" s="2">
        <v>2</v>
      </c>
      <c r="I221" s="2">
        <v>199</v>
      </c>
      <c r="J221" s="2">
        <v>20</v>
      </c>
      <c r="K221" s="21" t="s">
        <v>97</v>
      </c>
      <c r="L221" s="21" t="s">
        <v>20</v>
      </c>
      <c r="M221" s="21" t="s">
        <v>30</v>
      </c>
      <c r="N221" s="3">
        <v>45263</v>
      </c>
      <c r="O221" s="21" t="s">
        <v>47</v>
      </c>
      <c r="P221" s="21" t="s">
        <v>48</v>
      </c>
      <c r="Q221" s="21" t="s">
        <v>49</v>
      </c>
      <c r="R221" s="2">
        <v>95</v>
      </c>
      <c r="S221" s="2">
        <v>378</v>
      </c>
      <c r="T221" s="2">
        <v>188</v>
      </c>
      <c r="U221" s="4">
        <v>49.735449735449734</v>
      </c>
      <c r="V221" s="21" t="s">
        <v>281</v>
      </c>
      <c r="W221">
        <v>1</v>
      </c>
      <c r="X221">
        <v>20</v>
      </c>
      <c r="Y221" s="20">
        <v>1</v>
      </c>
    </row>
    <row r="222" spans="1:25" x14ac:dyDescent="0.3">
      <c r="A222" s="20" t="s">
        <v>410</v>
      </c>
      <c r="B222" s="21" t="s">
        <v>14</v>
      </c>
      <c r="C222" s="21" t="s">
        <v>164</v>
      </c>
      <c r="D222" s="3">
        <v>45658</v>
      </c>
      <c r="E222" s="21" t="s">
        <v>10</v>
      </c>
      <c r="F222" s="21" t="s">
        <v>11</v>
      </c>
      <c r="G222" s="21" t="s">
        <v>42</v>
      </c>
      <c r="H222" s="2">
        <v>1</v>
      </c>
      <c r="I222" s="2">
        <v>349</v>
      </c>
      <c r="J222" s="2">
        <v>0</v>
      </c>
      <c r="K222" s="21" t="s">
        <v>97</v>
      </c>
      <c r="L222" s="21" t="s">
        <v>12</v>
      </c>
      <c r="M222" s="21" t="s">
        <v>13</v>
      </c>
      <c r="N222" s="3">
        <v>44744</v>
      </c>
      <c r="O222" s="21" t="s">
        <v>43</v>
      </c>
      <c r="P222" s="21" t="s">
        <v>44</v>
      </c>
      <c r="Q222" s="21" t="s">
        <v>45</v>
      </c>
      <c r="R222" s="2">
        <v>165</v>
      </c>
      <c r="S222" s="2">
        <v>349</v>
      </c>
      <c r="T222" s="2">
        <v>184</v>
      </c>
      <c r="U222" s="4">
        <v>52.722063037249278</v>
      </c>
      <c r="V222" s="21" t="s">
        <v>98</v>
      </c>
      <c r="W222">
        <v>1</v>
      </c>
      <c r="X222">
        <v>32</v>
      </c>
      <c r="Y222" s="20">
        <v>1</v>
      </c>
    </row>
    <row r="223" spans="1:25" x14ac:dyDescent="0.3">
      <c r="A223" s="20" t="s">
        <v>410</v>
      </c>
      <c r="B223" s="21" t="s">
        <v>14</v>
      </c>
      <c r="C223" s="21" t="s">
        <v>167</v>
      </c>
      <c r="D223" s="3">
        <v>45658</v>
      </c>
      <c r="E223" s="21" t="s">
        <v>28</v>
      </c>
      <c r="F223" s="21" t="s">
        <v>29</v>
      </c>
      <c r="G223" s="21" t="s">
        <v>46</v>
      </c>
      <c r="H223" s="2">
        <v>2</v>
      </c>
      <c r="I223" s="2">
        <v>199</v>
      </c>
      <c r="J223" s="2">
        <v>20</v>
      </c>
      <c r="K223" s="21" t="s">
        <v>97</v>
      </c>
      <c r="L223" s="21" t="s">
        <v>7</v>
      </c>
      <c r="M223" s="21" t="s">
        <v>30</v>
      </c>
      <c r="N223" s="3">
        <v>45211</v>
      </c>
      <c r="O223" s="21" t="s">
        <v>47</v>
      </c>
      <c r="P223" s="21" t="s">
        <v>48</v>
      </c>
      <c r="Q223" s="21" t="s">
        <v>49</v>
      </c>
      <c r="R223" s="2">
        <v>95</v>
      </c>
      <c r="S223" s="2">
        <v>378</v>
      </c>
      <c r="T223" s="2">
        <v>188</v>
      </c>
      <c r="U223" s="4">
        <v>49.735449735449734</v>
      </c>
      <c r="V223" s="21" t="s">
        <v>98</v>
      </c>
      <c r="W223">
        <v>1</v>
      </c>
      <c r="X223">
        <v>19</v>
      </c>
      <c r="Y223" s="20">
        <v>1</v>
      </c>
    </row>
    <row r="224" spans="1:25" x14ac:dyDescent="0.3">
      <c r="A224" s="20" t="s">
        <v>410</v>
      </c>
      <c r="B224" s="21" t="s">
        <v>14</v>
      </c>
      <c r="C224" s="21" t="s">
        <v>169</v>
      </c>
      <c r="D224" s="3">
        <v>45659</v>
      </c>
      <c r="E224" s="21" t="s">
        <v>101</v>
      </c>
      <c r="F224" s="21" t="s">
        <v>170</v>
      </c>
      <c r="G224" s="21" t="s">
        <v>50</v>
      </c>
      <c r="H224" s="2">
        <v>1</v>
      </c>
      <c r="I224" s="2">
        <v>45</v>
      </c>
      <c r="J224" s="2">
        <v>0</v>
      </c>
      <c r="K224" s="21" t="s">
        <v>97</v>
      </c>
      <c r="L224" s="21" t="s">
        <v>265</v>
      </c>
      <c r="M224" s="21" t="s">
        <v>101</v>
      </c>
      <c r="N224" s="3"/>
      <c r="O224" s="21" t="s">
        <v>51</v>
      </c>
      <c r="P224" s="21" t="s">
        <v>52</v>
      </c>
      <c r="Q224" s="21" t="s">
        <v>53</v>
      </c>
      <c r="R224" s="2">
        <v>18</v>
      </c>
      <c r="S224" s="2">
        <v>45</v>
      </c>
      <c r="T224" s="2">
        <v>27</v>
      </c>
      <c r="U224" s="4">
        <v>60</v>
      </c>
      <c r="V224" s="21" t="s">
        <v>98</v>
      </c>
      <c r="W224">
        <v>1</v>
      </c>
      <c r="X224"/>
      <c r="Y224" s="20"/>
    </row>
    <row r="225" spans="1:25" x14ac:dyDescent="0.3">
      <c r="A225" s="20" t="s">
        <v>410</v>
      </c>
      <c r="B225" s="21" t="s">
        <v>14</v>
      </c>
      <c r="C225" s="21" t="s">
        <v>172</v>
      </c>
      <c r="D225" s="3">
        <v>45660</v>
      </c>
      <c r="E225" s="21" t="s">
        <v>18</v>
      </c>
      <c r="F225" s="21" t="s">
        <v>19</v>
      </c>
      <c r="G225" s="21" t="s">
        <v>54</v>
      </c>
      <c r="H225" s="2">
        <v>1</v>
      </c>
      <c r="I225" s="2">
        <v>1299</v>
      </c>
      <c r="J225" s="2">
        <v>0</v>
      </c>
      <c r="K225" s="21" t="s">
        <v>97</v>
      </c>
      <c r="L225" s="21" t="s">
        <v>20</v>
      </c>
      <c r="M225" s="21" t="s">
        <v>13</v>
      </c>
      <c r="N225" s="3">
        <v>44931</v>
      </c>
      <c r="O225" s="21" t="s">
        <v>55</v>
      </c>
      <c r="P225" s="21" t="s">
        <v>44</v>
      </c>
      <c r="Q225" s="21" t="s">
        <v>56</v>
      </c>
      <c r="R225" s="2">
        <v>820</v>
      </c>
      <c r="S225" s="2">
        <v>1299</v>
      </c>
      <c r="T225" s="2">
        <v>479</v>
      </c>
      <c r="U225" s="4">
        <v>36.87451886066205</v>
      </c>
      <c r="V225" s="21" t="s">
        <v>98</v>
      </c>
      <c r="W225">
        <v>1</v>
      </c>
      <c r="X225">
        <v>35</v>
      </c>
      <c r="Y225" s="20">
        <v>1</v>
      </c>
    </row>
    <row r="226" spans="1:25" x14ac:dyDescent="0.3">
      <c r="A226" s="20" t="s">
        <v>410</v>
      </c>
      <c r="B226" s="21" t="s">
        <v>14</v>
      </c>
      <c r="C226" s="21" t="s">
        <v>174</v>
      </c>
      <c r="D226" s="3">
        <v>45660</v>
      </c>
      <c r="E226" s="21" t="s">
        <v>31</v>
      </c>
      <c r="F226" s="21" t="s">
        <v>32</v>
      </c>
      <c r="G226" s="21" t="s">
        <v>57</v>
      </c>
      <c r="H226" s="2">
        <v>2</v>
      </c>
      <c r="I226" s="2">
        <v>529</v>
      </c>
      <c r="J226" s="2">
        <v>50</v>
      </c>
      <c r="K226" s="21" t="s">
        <v>97</v>
      </c>
      <c r="L226" s="21" t="s">
        <v>20</v>
      </c>
      <c r="M226" s="21" t="s">
        <v>30</v>
      </c>
      <c r="N226" s="3">
        <v>45263</v>
      </c>
      <c r="O226" s="21" t="s">
        <v>58</v>
      </c>
      <c r="P226" s="21" t="s">
        <v>44</v>
      </c>
      <c r="Q226" s="21" t="s">
        <v>59</v>
      </c>
      <c r="R226" s="2">
        <v>260</v>
      </c>
      <c r="S226" s="2">
        <v>1008</v>
      </c>
      <c r="T226" s="2">
        <v>488</v>
      </c>
      <c r="U226" s="4">
        <v>48.412698412698411</v>
      </c>
      <c r="V226" s="21" t="s">
        <v>98</v>
      </c>
      <c r="W226">
        <v>1</v>
      </c>
      <c r="X226">
        <v>20</v>
      </c>
      <c r="Y226" s="20">
        <v>1</v>
      </c>
    </row>
    <row r="227" spans="1:25" x14ac:dyDescent="0.3">
      <c r="A227" s="20" t="s">
        <v>410</v>
      </c>
      <c r="B227" s="21" t="s">
        <v>14</v>
      </c>
      <c r="C227" s="21" t="s">
        <v>176</v>
      </c>
      <c r="D227" s="3">
        <v>45661</v>
      </c>
      <c r="E227" s="21" t="s">
        <v>15</v>
      </c>
      <c r="F227" s="21" t="s">
        <v>16</v>
      </c>
      <c r="G227" s="21" t="s">
        <v>60</v>
      </c>
      <c r="H227" s="2">
        <v>1</v>
      </c>
      <c r="I227" s="2">
        <v>899</v>
      </c>
      <c r="J227" s="2">
        <v>90</v>
      </c>
      <c r="K227" s="21" t="s">
        <v>97</v>
      </c>
      <c r="L227" s="21" t="s">
        <v>7</v>
      </c>
      <c r="M227" s="21" t="s">
        <v>13</v>
      </c>
      <c r="N227" s="3">
        <v>44883</v>
      </c>
      <c r="O227" s="21" t="s">
        <v>61</v>
      </c>
      <c r="P227" s="21" t="s">
        <v>48</v>
      </c>
      <c r="Q227" s="21" t="s">
        <v>62</v>
      </c>
      <c r="R227" s="2">
        <v>520</v>
      </c>
      <c r="S227" s="2">
        <v>809</v>
      </c>
      <c r="T227" s="2">
        <v>289</v>
      </c>
      <c r="U227" s="4">
        <v>35.723114956736715</v>
      </c>
      <c r="V227" s="21" t="s">
        <v>98</v>
      </c>
      <c r="W227">
        <v>1</v>
      </c>
      <c r="X227">
        <v>32</v>
      </c>
      <c r="Y227" s="20">
        <v>1</v>
      </c>
    </row>
    <row r="228" spans="1:25" x14ac:dyDescent="0.3">
      <c r="A228" s="20" t="s">
        <v>410</v>
      </c>
      <c r="B228" s="21" t="s">
        <v>14</v>
      </c>
      <c r="C228" s="21" t="s">
        <v>173</v>
      </c>
      <c r="D228" s="3">
        <v>45661</v>
      </c>
      <c r="E228" s="21" t="s">
        <v>101</v>
      </c>
      <c r="F228" s="21" t="s">
        <v>170</v>
      </c>
      <c r="G228" s="21" t="s">
        <v>63</v>
      </c>
      <c r="H228" s="2">
        <v>3</v>
      </c>
      <c r="I228" s="2">
        <v>29</v>
      </c>
      <c r="J228" s="2">
        <v>0</v>
      </c>
      <c r="K228" s="21" t="s">
        <v>97</v>
      </c>
      <c r="L228" s="21" t="s">
        <v>265</v>
      </c>
      <c r="M228" s="21" t="s">
        <v>101</v>
      </c>
      <c r="N228" s="3"/>
      <c r="O228" s="21" t="s">
        <v>64</v>
      </c>
      <c r="P228" s="21" t="s">
        <v>52</v>
      </c>
      <c r="Q228" s="21" t="s">
        <v>62</v>
      </c>
      <c r="R228" s="2">
        <v>11</v>
      </c>
      <c r="S228" s="2">
        <v>87</v>
      </c>
      <c r="T228" s="2">
        <v>54</v>
      </c>
      <c r="U228" s="4">
        <v>62.068965517241381</v>
      </c>
      <c r="V228" s="21" t="s">
        <v>98</v>
      </c>
      <c r="W228">
        <v>1</v>
      </c>
      <c r="X228"/>
      <c r="Y228" s="20"/>
    </row>
    <row r="229" spans="1:25" x14ac:dyDescent="0.3">
      <c r="A229" s="20" t="s">
        <v>410</v>
      </c>
      <c r="B229" s="21" t="s">
        <v>14</v>
      </c>
      <c r="C229" s="21" t="s">
        <v>177</v>
      </c>
      <c r="D229" s="3">
        <v>45662</v>
      </c>
      <c r="E229" s="21" t="s">
        <v>25</v>
      </c>
      <c r="F229" s="21" t="s">
        <v>26</v>
      </c>
      <c r="G229" s="21" t="s">
        <v>65</v>
      </c>
      <c r="H229" s="2">
        <v>1</v>
      </c>
      <c r="I229" s="2">
        <v>749</v>
      </c>
      <c r="J229" s="2">
        <v>0</v>
      </c>
      <c r="K229" s="21" t="s">
        <v>97</v>
      </c>
      <c r="L229" s="21" t="s">
        <v>27</v>
      </c>
      <c r="M229" s="21" t="s">
        <v>13</v>
      </c>
      <c r="N229" s="3">
        <v>45168</v>
      </c>
      <c r="O229" s="21" t="s">
        <v>66</v>
      </c>
      <c r="P229" s="21" t="s">
        <v>44</v>
      </c>
      <c r="Q229" s="21" t="s">
        <v>67</v>
      </c>
      <c r="R229" s="2">
        <v>490</v>
      </c>
      <c r="S229" s="2">
        <v>749</v>
      </c>
      <c r="T229" s="2">
        <v>259</v>
      </c>
      <c r="U229" s="4">
        <v>34.579439252336449</v>
      </c>
      <c r="V229" s="21" t="s">
        <v>98</v>
      </c>
      <c r="W229">
        <v>1</v>
      </c>
      <c r="X229">
        <v>46</v>
      </c>
      <c r="Y229" s="20">
        <v>1</v>
      </c>
    </row>
    <row r="230" spans="1:25" x14ac:dyDescent="0.3">
      <c r="A230" s="20" t="s">
        <v>410</v>
      </c>
      <c r="B230" s="21" t="s">
        <v>14</v>
      </c>
      <c r="C230" s="21" t="s">
        <v>166</v>
      </c>
      <c r="D230" s="3">
        <v>45663</v>
      </c>
      <c r="E230" s="21" t="s">
        <v>5</v>
      </c>
      <c r="F230" s="21" t="s">
        <v>6</v>
      </c>
      <c r="G230" s="21" t="s">
        <v>71</v>
      </c>
      <c r="H230" s="2">
        <v>1</v>
      </c>
      <c r="I230" s="2">
        <v>459</v>
      </c>
      <c r="J230" s="2">
        <v>46</v>
      </c>
      <c r="K230" s="21" t="s">
        <v>97</v>
      </c>
      <c r="L230" s="21" t="s">
        <v>7</v>
      </c>
      <c r="M230" s="21" t="s">
        <v>8</v>
      </c>
      <c r="N230" s="3">
        <v>44635</v>
      </c>
      <c r="O230" s="21" t="s">
        <v>72</v>
      </c>
      <c r="P230" s="21" t="s">
        <v>48</v>
      </c>
      <c r="Q230" s="21" t="s">
        <v>49</v>
      </c>
      <c r="R230" s="2">
        <v>210</v>
      </c>
      <c r="S230" s="2">
        <v>413</v>
      </c>
      <c r="T230" s="2">
        <v>203</v>
      </c>
      <c r="U230" s="4">
        <v>49.152542372881356</v>
      </c>
      <c r="V230" s="21" t="s">
        <v>98</v>
      </c>
      <c r="W230">
        <v>1</v>
      </c>
      <c r="X230">
        <v>52</v>
      </c>
      <c r="Y230" s="20">
        <v>1</v>
      </c>
    </row>
    <row r="231" spans="1:25" x14ac:dyDescent="0.3">
      <c r="A231" s="20" t="s">
        <v>410</v>
      </c>
      <c r="B231" s="21" t="s">
        <v>14</v>
      </c>
      <c r="C231" s="21" t="s">
        <v>175</v>
      </c>
      <c r="D231" s="3">
        <v>45664</v>
      </c>
      <c r="E231" s="21" t="s">
        <v>101</v>
      </c>
      <c r="F231" s="21" t="s">
        <v>170</v>
      </c>
      <c r="G231" s="21" t="s">
        <v>73</v>
      </c>
      <c r="H231" s="2">
        <v>4</v>
      </c>
      <c r="I231" s="2">
        <v>19</v>
      </c>
      <c r="J231" s="2">
        <v>0</v>
      </c>
      <c r="K231" s="21" t="s">
        <v>97</v>
      </c>
      <c r="L231" s="21" t="s">
        <v>265</v>
      </c>
      <c r="M231" s="21" t="s">
        <v>101</v>
      </c>
      <c r="N231" s="3"/>
      <c r="O231" s="21" t="s">
        <v>74</v>
      </c>
      <c r="P231" s="21" t="s">
        <v>52</v>
      </c>
      <c r="Q231" s="21" t="s">
        <v>62</v>
      </c>
      <c r="R231" s="2">
        <v>8</v>
      </c>
      <c r="S231" s="2">
        <v>76</v>
      </c>
      <c r="T231" s="2">
        <v>44</v>
      </c>
      <c r="U231" s="4">
        <v>57.894736842105267</v>
      </c>
      <c r="V231" s="21" t="s">
        <v>98</v>
      </c>
      <c r="W231">
        <v>1</v>
      </c>
      <c r="X231"/>
      <c r="Y231" s="20"/>
    </row>
    <row r="232" spans="1:25" x14ac:dyDescent="0.3">
      <c r="A232" s="20" t="s">
        <v>410</v>
      </c>
      <c r="B232" s="21" t="s">
        <v>14</v>
      </c>
      <c r="C232" s="21" t="s">
        <v>178</v>
      </c>
      <c r="D232" s="3">
        <v>45664</v>
      </c>
      <c r="E232" s="21" t="s">
        <v>31</v>
      </c>
      <c r="F232" s="21" t="s">
        <v>32</v>
      </c>
      <c r="G232" s="21" t="s">
        <v>75</v>
      </c>
      <c r="H232" s="2">
        <v>1</v>
      </c>
      <c r="I232" s="2">
        <v>599</v>
      </c>
      <c r="J232" s="2">
        <v>0</v>
      </c>
      <c r="K232" s="21" t="s">
        <v>97</v>
      </c>
      <c r="L232" s="21" t="s">
        <v>20</v>
      </c>
      <c r="M232" s="21" t="s">
        <v>30</v>
      </c>
      <c r="N232" s="3">
        <v>45263</v>
      </c>
      <c r="O232" s="21" t="s">
        <v>76</v>
      </c>
      <c r="P232" s="21" t="s">
        <v>44</v>
      </c>
      <c r="Q232" s="21" t="s">
        <v>59</v>
      </c>
      <c r="R232" s="2">
        <v>350</v>
      </c>
      <c r="S232" s="2">
        <v>599</v>
      </c>
      <c r="T232" s="2">
        <v>249</v>
      </c>
      <c r="U232" s="4">
        <v>41.569282136894827</v>
      </c>
      <c r="V232" s="21" t="s">
        <v>98</v>
      </c>
      <c r="W232">
        <v>1</v>
      </c>
      <c r="X232">
        <v>20</v>
      </c>
      <c r="Y232" s="20">
        <v>1</v>
      </c>
    </row>
    <row r="233" spans="1:25" x14ac:dyDescent="0.3">
      <c r="A233" s="20" t="s">
        <v>410</v>
      </c>
      <c r="B233" s="21" t="s">
        <v>14</v>
      </c>
      <c r="C233" s="21" t="s">
        <v>179</v>
      </c>
      <c r="D233" s="3">
        <v>45665</v>
      </c>
      <c r="E233" s="21" t="s">
        <v>21</v>
      </c>
      <c r="F233" s="21" t="s">
        <v>22</v>
      </c>
      <c r="G233" s="21" t="s">
        <v>77</v>
      </c>
      <c r="H233" s="2">
        <v>1</v>
      </c>
      <c r="I233" s="2">
        <v>1099</v>
      </c>
      <c r="J233" s="2">
        <v>110</v>
      </c>
      <c r="K233" s="21" t="s">
        <v>97</v>
      </c>
      <c r="L233" s="21" t="s">
        <v>7</v>
      </c>
      <c r="M233" s="21" t="s">
        <v>8</v>
      </c>
      <c r="N233" s="3">
        <v>44948</v>
      </c>
      <c r="O233" s="21" t="s">
        <v>78</v>
      </c>
      <c r="P233" s="21" t="s">
        <v>48</v>
      </c>
      <c r="Q233" s="21" t="s">
        <v>62</v>
      </c>
      <c r="R233" s="2">
        <v>650</v>
      </c>
      <c r="S233" s="2">
        <v>989</v>
      </c>
      <c r="T233" s="2">
        <v>339</v>
      </c>
      <c r="U233" s="4">
        <v>34.277047522750252</v>
      </c>
      <c r="V233" s="21" t="s">
        <v>98</v>
      </c>
      <c r="W233">
        <v>1</v>
      </c>
      <c r="X233">
        <v>32</v>
      </c>
      <c r="Y233" s="20">
        <v>1</v>
      </c>
    </row>
    <row r="234" spans="1:25" x14ac:dyDescent="0.3">
      <c r="A234" s="20" t="s">
        <v>410</v>
      </c>
      <c r="B234" s="21" t="s">
        <v>14</v>
      </c>
      <c r="C234" s="21" t="s">
        <v>165</v>
      </c>
      <c r="D234" s="3">
        <v>45666</v>
      </c>
      <c r="E234" s="21" t="s">
        <v>10</v>
      </c>
      <c r="F234" s="21" t="s">
        <v>11</v>
      </c>
      <c r="G234" s="21" t="s">
        <v>42</v>
      </c>
      <c r="H234" s="2">
        <v>2</v>
      </c>
      <c r="I234" s="2">
        <v>349</v>
      </c>
      <c r="J234" s="2">
        <v>0</v>
      </c>
      <c r="K234" s="21" t="s">
        <v>97</v>
      </c>
      <c r="L234" s="21" t="s">
        <v>12</v>
      </c>
      <c r="M234" s="21" t="s">
        <v>13</v>
      </c>
      <c r="N234" s="3">
        <v>44744</v>
      </c>
      <c r="O234" s="21" t="s">
        <v>43</v>
      </c>
      <c r="P234" s="21" t="s">
        <v>44</v>
      </c>
      <c r="Q234" s="21" t="s">
        <v>45</v>
      </c>
      <c r="R234" s="2">
        <v>165</v>
      </c>
      <c r="S234" s="2">
        <v>698</v>
      </c>
      <c r="T234" s="2">
        <v>368</v>
      </c>
      <c r="U234" s="4">
        <v>52.722063037249278</v>
      </c>
      <c r="V234" s="21" t="s">
        <v>98</v>
      </c>
      <c r="W234">
        <v>1</v>
      </c>
      <c r="X234">
        <v>32</v>
      </c>
      <c r="Y234" s="20">
        <v>1</v>
      </c>
    </row>
    <row r="235" spans="1:25" x14ac:dyDescent="0.3">
      <c r="A235" s="20" t="s">
        <v>410</v>
      </c>
      <c r="B235" s="21" t="s">
        <v>14</v>
      </c>
      <c r="C235" s="21" t="s">
        <v>180</v>
      </c>
      <c r="D235" s="3">
        <v>45666</v>
      </c>
      <c r="E235" s="21" t="s">
        <v>101</v>
      </c>
      <c r="F235" s="21" t="s">
        <v>170</v>
      </c>
      <c r="G235" s="21" t="s">
        <v>81</v>
      </c>
      <c r="H235" s="2">
        <v>1</v>
      </c>
      <c r="I235" s="2">
        <v>89</v>
      </c>
      <c r="J235" s="2">
        <v>0</v>
      </c>
      <c r="K235" s="21" t="s">
        <v>97</v>
      </c>
      <c r="L235" s="21" t="s">
        <v>265</v>
      </c>
      <c r="M235" s="21" t="s">
        <v>101</v>
      </c>
      <c r="N235" s="3"/>
      <c r="O235" s="21" t="s">
        <v>82</v>
      </c>
      <c r="P235" s="21" t="s">
        <v>52</v>
      </c>
      <c r="Q235" s="21" t="s">
        <v>83</v>
      </c>
      <c r="R235" s="2">
        <v>42</v>
      </c>
      <c r="S235" s="2">
        <v>89</v>
      </c>
      <c r="T235" s="2">
        <v>47</v>
      </c>
      <c r="U235" s="4">
        <v>52.80898876404494</v>
      </c>
      <c r="V235" s="21" t="s">
        <v>98</v>
      </c>
      <c r="W235">
        <v>1</v>
      </c>
      <c r="X235"/>
      <c r="Y235" s="20"/>
    </row>
    <row r="236" spans="1:25" x14ac:dyDescent="0.3">
      <c r="A236" s="20" t="s">
        <v>410</v>
      </c>
      <c r="B236" s="21" t="s">
        <v>14</v>
      </c>
      <c r="C236" s="21" t="s">
        <v>168</v>
      </c>
      <c r="D236" s="3">
        <v>45667</v>
      </c>
      <c r="E236" s="21" t="s">
        <v>28</v>
      </c>
      <c r="F236" s="21" t="s">
        <v>29</v>
      </c>
      <c r="G236" s="21" t="s">
        <v>46</v>
      </c>
      <c r="H236" s="2">
        <v>1</v>
      </c>
      <c r="I236" s="2">
        <v>199</v>
      </c>
      <c r="J236" s="2">
        <v>0</v>
      </c>
      <c r="K236" s="21" t="s">
        <v>97</v>
      </c>
      <c r="L236" s="21" t="s">
        <v>7</v>
      </c>
      <c r="M236" s="21" t="s">
        <v>30</v>
      </c>
      <c r="N236" s="3">
        <v>45211</v>
      </c>
      <c r="O236" s="21" t="s">
        <v>47</v>
      </c>
      <c r="P236" s="21" t="s">
        <v>48</v>
      </c>
      <c r="Q236" s="21" t="s">
        <v>49</v>
      </c>
      <c r="R236" s="2">
        <v>95</v>
      </c>
      <c r="S236" s="2">
        <v>199</v>
      </c>
      <c r="T236" s="2">
        <v>104</v>
      </c>
      <c r="U236" s="4">
        <v>52.261306532663319</v>
      </c>
      <c r="V236" s="21" t="s">
        <v>98</v>
      </c>
      <c r="W236">
        <v>1</v>
      </c>
      <c r="X236">
        <v>19</v>
      </c>
      <c r="Y236" s="20">
        <v>1</v>
      </c>
    </row>
    <row r="237" spans="1:25" x14ac:dyDescent="0.3">
      <c r="A237" s="20" t="s">
        <v>410</v>
      </c>
      <c r="B237" s="21" t="s">
        <v>14</v>
      </c>
      <c r="C237" s="21" t="s">
        <v>181</v>
      </c>
      <c r="D237" s="3">
        <v>45668</v>
      </c>
      <c r="E237" s="21" t="s">
        <v>18</v>
      </c>
      <c r="F237" s="21" t="s">
        <v>19</v>
      </c>
      <c r="G237" s="21" t="s">
        <v>79</v>
      </c>
      <c r="H237" s="2">
        <v>1</v>
      </c>
      <c r="I237" s="2">
        <v>189</v>
      </c>
      <c r="J237" s="2">
        <v>19</v>
      </c>
      <c r="K237" s="21" t="s">
        <v>97</v>
      </c>
      <c r="L237" s="21" t="s">
        <v>20</v>
      </c>
      <c r="M237" s="21" t="s">
        <v>13</v>
      </c>
      <c r="N237" s="3">
        <v>44931</v>
      </c>
      <c r="O237" s="21" t="s">
        <v>80</v>
      </c>
      <c r="P237" s="21" t="s">
        <v>44</v>
      </c>
      <c r="Q237" s="21" t="s">
        <v>70</v>
      </c>
      <c r="R237" s="2">
        <v>95</v>
      </c>
      <c r="S237" s="2">
        <v>170</v>
      </c>
      <c r="T237" s="2">
        <v>75</v>
      </c>
      <c r="U237" s="4">
        <v>44.117647058823529</v>
      </c>
      <c r="V237" s="21" t="s">
        <v>98</v>
      </c>
      <c r="W237">
        <v>1</v>
      </c>
      <c r="X237">
        <v>35</v>
      </c>
      <c r="Y237" s="20">
        <v>1</v>
      </c>
    </row>
    <row r="238" spans="1:25" x14ac:dyDescent="0.3">
      <c r="A238" s="20" t="s">
        <v>410</v>
      </c>
      <c r="B238" s="21" t="s">
        <v>14</v>
      </c>
      <c r="C238" s="21" t="s">
        <v>171</v>
      </c>
      <c r="D238" s="3">
        <v>45669</v>
      </c>
      <c r="E238" s="21" t="s">
        <v>101</v>
      </c>
      <c r="F238" s="21" t="s">
        <v>170</v>
      </c>
      <c r="G238" s="21" t="s">
        <v>50</v>
      </c>
      <c r="H238" s="2">
        <v>5</v>
      </c>
      <c r="I238" s="2">
        <v>45</v>
      </c>
      <c r="J238" s="2">
        <v>22.5</v>
      </c>
      <c r="K238" s="21" t="s">
        <v>97</v>
      </c>
      <c r="L238" s="21" t="s">
        <v>265</v>
      </c>
      <c r="M238" s="21" t="s">
        <v>101</v>
      </c>
      <c r="N238" s="3"/>
      <c r="O238" s="21" t="s">
        <v>51</v>
      </c>
      <c r="P238" s="21" t="s">
        <v>52</v>
      </c>
      <c r="Q238" s="21" t="s">
        <v>53</v>
      </c>
      <c r="R238" s="2">
        <v>18</v>
      </c>
      <c r="S238" s="2">
        <v>202.5</v>
      </c>
      <c r="T238" s="2">
        <v>112.5</v>
      </c>
      <c r="U238" s="4">
        <v>55.555555555555557</v>
      </c>
      <c r="V238" s="21" t="s">
        <v>98</v>
      </c>
      <c r="W238">
        <v>1</v>
      </c>
      <c r="X238"/>
      <c r="Y238" s="20"/>
    </row>
    <row r="239" spans="1:25" x14ac:dyDescent="0.3">
      <c r="A239" s="20" t="s">
        <v>410</v>
      </c>
      <c r="B239" s="21" t="s">
        <v>14</v>
      </c>
      <c r="C239" s="21" t="s">
        <v>182</v>
      </c>
      <c r="D239" s="3">
        <v>45669</v>
      </c>
      <c r="E239" s="21" t="s">
        <v>5</v>
      </c>
      <c r="F239" s="21" t="s">
        <v>6</v>
      </c>
      <c r="G239" s="21" t="s">
        <v>54</v>
      </c>
      <c r="H239" s="2">
        <v>1</v>
      </c>
      <c r="I239" s="2">
        <v>1299</v>
      </c>
      <c r="J239" s="2">
        <v>130</v>
      </c>
      <c r="K239" s="21" t="s">
        <v>97</v>
      </c>
      <c r="L239" s="21" t="s">
        <v>7</v>
      </c>
      <c r="M239" s="21" t="s">
        <v>8</v>
      </c>
      <c r="N239" s="3">
        <v>44635</v>
      </c>
      <c r="O239" s="21" t="s">
        <v>55</v>
      </c>
      <c r="P239" s="21" t="s">
        <v>44</v>
      </c>
      <c r="Q239" s="21" t="s">
        <v>56</v>
      </c>
      <c r="R239" s="2">
        <v>820</v>
      </c>
      <c r="S239" s="2">
        <v>1169</v>
      </c>
      <c r="T239" s="2">
        <v>349</v>
      </c>
      <c r="U239" s="4">
        <v>29.854576561163388</v>
      </c>
      <c r="V239" s="21" t="s">
        <v>98</v>
      </c>
      <c r="W239">
        <v>1</v>
      </c>
      <c r="X239">
        <v>52</v>
      </c>
      <c r="Y239" s="20">
        <v>1</v>
      </c>
    </row>
    <row r="240" spans="1:25" x14ac:dyDescent="0.3">
      <c r="A240" s="20" t="s">
        <v>410</v>
      </c>
      <c r="B240" s="21" t="s">
        <v>14</v>
      </c>
      <c r="C240" s="21" t="s">
        <v>183</v>
      </c>
      <c r="D240" s="3">
        <v>45670</v>
      </c>
      <c r="E240" s="21" t="s">
        <v>31</v>
      </c>
      <c r="F240" s="21" t="s">
        <v>32</v>
      </c>
      <c r="G240" s="21" t="s">
        <v>60</v>
      </c>
      <c r="H240" s="2">
        <v>2</v>
      </c>
      <c r="I240" s="2">
        <v>899</v>
      </c>
      <c r="J240" s="2">
        <v>0</v>
      </c>
      <c r="K240" s="21" t="s">
        <v>97</v>
      </c>
      <c r="L240" s="21" t="s">
        <v>20</v>
      </c>
      <c r="M240" s="21" t="s">
        <v>30</v>
      </c>
      <c r="N240" s="3">
        <v>45263</v>
      </c>
      <c r="O240" s="21" t="s">
        <v>61</v>
      </c>
      <c r="P240" s="21" t="s">
        <v>48</v>
      </c>
      <c r="Q240" s="21" t="s">
        <v>62</v>
      </c>
      <c r="R240" s="2">
        <v>520</v>
      </c>
      <c r="S240" s="2">
        <v>1798</v>
      </c>
      <c r="T240" s="2">
        <v>758</v>
      </c>
      <c r="U240" s="4">
        <v>42.157953281423808</v>
      </c>
      <c r="V240" s="21" t="s">
        <v>98</v>
      </c>
      <c r="W240">
        <v>1</v>
      </c>
      <c r="X240">
        <v>20</v>
      </c>
      <c r="Y240" s="20">
        <v>1</v>
      </c>
    </row>
    <row r="241" spans="1:25" x14ac:dyDescent="0.3">
      <c r="A241" s="20" t="s">
        <v>410</v>
      </c>
      <c r="B241" s="21" t="s">
        <v>14</v>
      </c>
      <c r="C241" s="21" t="s">
        <v>184</v>
      </c>
      <c r="D241" s="3">
        <v>45670</v>
      </c>
      <c r="E241" s="21" t="s">
        <v>25</v>
      </c>
      <c r="F241" s="21" t="s">
        <v>26</v>
      </c>
      <c r="G241" s="21" t="s">
        <v>57</v>
      </c>
      <c r="H241" s="2">
        <v>1</v>
      </c>
      <c r="I241" s="2">
        <v>529</v>
      </c>
      <c r="J241" s="2">
        <v>52.9</v>
      </c>
      <c r="K241" s="21" t="s">
        <v>97</v>
      </c>
      <c r="L241" s="21" t="s">
        <v>27</v>
      </c>
      <c r="M241" s="21" t="s">
        <v>13</v>
      </c>
      <c r="N241" s="3">
        <v>45168</v>
      </c>
      <c r="O241" s="21" t="s">
        <v>58</v>
      </c>
      <c r="P241" s="21" t="s">
        <v>44</v>
      </c>
      <c r="Q241" s="21" t="s">
        <v>59</v>
      </c>
      <c r="R241" s="2">
        <v>260</v>
      </c>
      <c r="S241" s="2">
        <v>476.1</v>
      </c>
      <c r="T241" s="2">
        <v>216.10000000000002</v>
      </c>
      <c r="U241" s="4">
        <v>45.389624028565429</v>
      </c>
      <c r="V241" s="21" t="s">
        <v>98</v>
      </c>
      <c r="W241">
        <v>1</v>
      </c>
      <c r="X241">
        <v>46</v>
      </c>
      <c r="Y241" s="20">
        <v>1</v>
      </c>
    </row>
    <row r="242" spans="1:25" x14ac:dyDescent="0.3">
      <c r="A242" s="20" t="s">
        <v>410</v>
      </c>
      <c r="B242" s="21" t="s">
        <v>14</v>
      </c>
      <c r="C242" s="21" t="s">
        <v>185</v>
      </c>
      <c r="D242" s="3">
        <v>45671</v>
      </c>
      <c r="E242" s="21" t="s">
        <v>21</v>
      </c>
      <c r="F242" s="21" t="s">
        <v>22</v>
      </c>
      <c r="G242" s="21" t="s">
        <v>63</v>
      </c>
      <c r="H242" s="2">
        <v>2</v>
      </c>
      <c r="I242" s="2">
        <v>29</v>
      </c>
      <c r="J242" s="2">
        <v>0</v>
      </c>
      <c r="K242" s="21" t="s">
        <v>97</v>
      </c>
      <c r="L242" s="21" t="s">
        <v>7</v>
      </c>
      <c r="M242" s="21" t="s">
        <v>8</v>
      </c>
      <c r="N242" s="3">
        <v>44948</v>
      </c>
      <c r="O242" s="21" t="s">
        <v>64</v>
      </c>
      <c r="P242" s="21" t="s">
        <v>52</v>
      </c>
      <c r="Q242" s="21" t="s">
        <v>62</v>
      </c>
      <c r="R242" s="2">
        <v>11</v>
      </c>
      <c r="S242" s="2">
        <v>58</v>
      </c>
      <c r="T242" s="2">
        <v>36</v>
      </c>
      <c r="U242" s="4">
        <v>62.068965517241381</v>
      </c>
      <c r="V242" s="21" t="s">
        <v>98</v>
      </c>
      <c r="W242">
        <v>1</v>
      </c>
      <c r="X242">
        <v>32</v>
      </c>
      <c r="Y242" s="20">
        <v>1</v>
      </c>
    </row>
    <row r="243" spans="1:25" x14ac:dyDescent="0.3">
      <c r="A243" s="20" t="s">
        <v>410</v>
      </c>
      <c r="B243" s="21" t="s">
        <v>14</v>
      </c>
      <c r="C243" s="21" t="s">
        <v>186</v>
      </c>
      <c r="D243" s="3">
        <v>45672</v>
      </c>
      <c r="E243" s="21" t="s">
        <v>101</v>
      </c>
      <c r="F243" s="21" t="s">
        <v>170</v>
      </c>
      <c r="G243" s="21" t="s">
        <v>65</v>
      </c>
      <c r="H243" s="2">
        <v>1</v>
      </c>
      <c r="I243" s="2">
        <v>749</v>
      </c>
      <c r="J243" s="2">
        <v>75</v>
      </c>
      <c r="K243" s="21" t="s">
        <v>97</v>
      </c>
      <c r="L243" s="21" t="s">
        <v>265</v>
      </c>
      <c r="M243" s="21" t="s">
        <v>101</v>
      </c>
      <c r="N243" s="3"/>
      <c r="O243" s="21" t="s">
        <v>66</v>
      </c>
      <c r="P243" s="21" t="s">
        <v>44</v>
      </c>
      <c r="Q243" s="21" t="s">
        <v>67</v>
      </c>
      <c r="R243" s="2">
        <v>490</v>
      </c>
      <c r="S243" s="2">
        <v>674</v>
      </c>
      <c r="T243" s="2">
        <v>184</v>
      </c>
      <c r="U243" s="4">
        <v>27.299703264094955</v>
      </c>
      <c r="V243" s="21" t="s">
        <v>98</v>
      </c>
      <c r="W243">
        <v>1</v>
      </c>
      <c r="X243"/>
      <c r="Y243" s="20"/>
    </row>
    <row r="244" spans="1:25" x14ac:dyDescent="0.3">
      <c r="A244" s="20" t="s">
        <v>410</v>
      </c>
      <c r="B244" s="21" t="s">
        <v>14</v>
      </c>
      <c r="C244" s="21" t="s">
        <v>187</v>
      </c>
      <c r="D244" s="3">
        <v>45672</v>
      </c>
      <c r="E244" s="21" t="s">
        <v>15</v>
      </c>
      <c r="F244" s="21" t="s">
        <v>16</v>
      </c>
      <c r="G244" s="21" t="s">
        <v>71</v>
      </c>
      <c r="H244" s="2">
        <v>1</v>
      </c>
      <c r="I244" s="2">
        <v>459</v>
      </c>
      <c r="J244" s="2">
        <v>0</v>
      </c>
      <c r="K244" s="21" t="s">
        <v>97</v>
      </c>
      <c r="L244" s="21" t="s">
        <v>7</v>
      </c>
      <c r="M244" s="21" t="s">
        <v>13</v>
      </c>
      <c r="N244" s="3">
        <v>44883</v>
      </c>
      <c r="O244" s="21" t="s">
        <v>72</v>
      </c>
      <c r="P244" s="21" t="s">
        <v>48</v>
      </c>
      <c r="Q244" s="21" t="s">
        <v>49</v>
      </c>
      <c r="R244" s="2">
        <v>210</v>
      </c>
      <c r="S244" s="2">
        <v>459</v>
      </c>
      <c r="T244" s="2">
        <v>249</v>
      </c>
      <c r="U244" s="4">
        <v>54.248366013071895</v>
      </c>
      <c r="V244" s="21" t="s">
        <v>98</v>
      </c>
      <c r="W244">
        <v>1</v>
      </c>
      <c r="X244">
        <v>32</v>
      </c>
      <c r="Y244" s="20">
        <v>1</v>
      </c>
    </row>
    <row r="245" spans="1:25" x14ac:dyDescent="0.3">
      <c r="A245" s="20" t="s">
        <v>410</v>
      </c>
      <c r="B245" s="21" t="s">
        <v>14</v>
      </c>
      <c r="C245" s="21" t="s">
        <v>188</v>
      </c>
      <c r="D245" s="3">
        <v>45673</v>
      </c>
      <c r="E245" s="21" t="s">
        <v>10</v>
      </c>
      <c r="F245" s="21" t="s">
        <v>11</v>
      </c>
      <c r="G245" s="21" t="s">
        <v>68</v>
      </c>
      <c r="H245" s="2">
        <v>1</v>
      </c>
      <c r="I245" s="2">
        <v>229</v>
      </c>
      <c r="J245" s="2">
        <v>0</v>
      </c>
      <c r="K245" s="21" t="s">
        <v>97</v>
      </c>
      <c r="L245" s="21" t="s">
        <v>12</v>
      </c>
      <c r="M245" s="21" t="s">
        <v>13</v>
      </c>
      <c r="N245" s="3">
        <v>44744</v>
      </c>
      <c r="O245" s="21" t="s">
        <v>69</v>
      </c>
      <c r="P245" s="21" t="s">
        <v>44</v>
      </c>
      <c r="Q245" s="21" t="s">
        <v>70</v>
      </c>
      <c r="R245" s="2">
        <v>110</v>
      </c>
      <c r="S245" s="2">
        <v>229</v>
      </c>
      <c r="T245" s="2">
        <v>119</v>
      </c>
      <c r="U245" s="4">
        <v>51.965065502183407</v>
      </c>
      <c r="V245" s="21" t="s">
        <v>98</v>
      </c>
      <c r="W245">
        <v>1</v>
      </c>
      <c r="X245">
        <v>32</v>
      </c>
      <c r="Y245" s="20">
        <v>1</v>
      </c>
    </row>
    <row r="246" spans="1:25" x14ac:dyDescent="0.3">
      <c r="A246" s="20" t="s">
        <v>410</v>
      </c>
      <c r="B246" s="21" t="s">
        <v>14</v>
      </c>
      <c r="C246" s="21" t="s">
        <v>189</v>
      </c>
      <c r="D246" s="3">
        <v>45674</v>
      </c>
      <c r="E246" s="21" t="s">
        <v>23</v>
      </c>
      <c r="F246" s="21" t="s">
        <v>24</v>
      </c>
      <c r="G246" s="21" t="s">
        <v>73</v>
      </c>
      <c r="H246" s="2">
        <v>3</v>
      </c>
      <c r="I246" s="2">
        <v>19</v>
      </c>
      <c r="J246" s="2">
        <v>0</v>
      </c>
      <c r="K246" s="21" t="s">
        <v>97</v>
      </c>
      <c r="L246" s="21" t="s">
        <v>7</v>
      </c>
      <c r="M246" s="21" t="s">
        <v>13</v>
      </c>
      <c r="N246" s="3">
        <v>45030</v>
      </c>
      <c r="O246" s="21" t="s">
        <v>74</v>
      </c>
      <c r="P246" s="21" t="s">
        <v>52</v>
      </c>
      <c r="Q246" s="21" t="s">
        <v>62</v>
      </c>
      <c r="R246" s="2">
        <v>8</v>
      </c>
      <c r="S246" s="2">
        <v>57</v>
      </c>
      <c r="T246" s="2">
        <v>33</v>
      </c>
      <c r="U246" s="4">
        <v>57.894736842105267</v>
      </c>
      <c r="V246" s="21" t="s">
        <v>98</v>
      </c>
      <c r="W246">
        <v>1</v>
      </c>
      <c r="X246">
        <v>18</v>
      </c>
      <c r="Y246" s="20">
        <v>1</v>
      </c>
    </row>
    <row r="247" spans="1:25" x14ac:dyDescent="0.3">
      <c r="A247" s="20" t="s">
        <v>410</v>
      </c>
      <c r="B247" s="21" t="s">
        <v>14</v>
      </c>
      <c r="C247" s="21" t="s">
        <v>190</v>
      </c>
      <c r="D247" s="3">
        <v>45674</v>
      </c>
      <c r="E247" s="21" t="s">
        <v>28</v>
      </c>
      <c r="F247" s="21" t="s">
        <v>29</v>
      </c>
      <c r="G247" s="21" t="s">
        <v>75</v>
      </c>
      <c r="H247" s="2">
        <v>1</v>
      </c>
      <c r="I247" s="2">
        <v>599</v>
      </c>
      <c r="J247" s="2">
        <v>59.9</v>
      </c>
      <c r="K247" s="21" t="s">
        <v>97</v>
      </c>
      <c r="L247" s="21" t="s">
        <v>7</v>
      </c>
      <c r="M247" s="21" t="s">
        <v>30</v>
      </c>
      <c r="N247" s="3">
        <v>45211</v>
      </c>
      <c r="O247" s="21" t="s">
        <v>76</v>
      </c>
      <c r="P247" s="21" t="s">
        <v>44</v>
      </c>
      <c r="Q247" s="21" t="s">
        <v>59</v>
      </c>
      <c r="R247" s="2">
        <v>350</v>
      </c>
      <c r="S247" s="2">
        <v>539.1</v>
      </c>
      <c r="T247" s="2">
        <v>189.10000000000002</v>
      </c>
      <c r="U247" s="4">
        <v>35.076980152105364</v>
      </c>
      <c r="V247" s="21" t="s">
        <v>98</v>
      </c>
      <c r="W247">
        <v>1</v>
      </c>
      <c r="X247">
        <v>19</v>
      </c>
      <c r="Y247" s="20">
        <v>1</v>
      </c>
    </row>
    <row r="248" spans="1:25" x14ac:dyDescent="0.3">
      <c r="A248" s="20" t="s">
        <v>410</v>
      </c>
      <c r="B248" s="21" t="s">
        <v>14</v>
      </c>
      <c r="C248" s="21" t="s">
        <v>191</v>
      </c>
      <c r="D248" s="3">
        <v>45675</v>
      </c>
      <c r="E248" s="21" t="s">
        <v>101</v>
      </c>
      <c r="F248" s="21" t="s">
        <v>170</v>
      </c>
      <c r="G248" s="21" t="s">
        <v>77</v>
      </c>
      <c r="H248" s="2">
        <v>1</v>
      </c>
      <c r="I248" s="2">
        <v>1099</v>
      </c>
      <c r="J248" s="2">
        <v>0</v>
      </c>
      <c r="K248" s="21" t="s">
        <v>97</v>
      </c>
      <c r="L248" s="21" t="s">
        <v>265</v>
      </c>
      <c r="M248" s="21" t="s">
        <v>101</v>
      </c>
      <c r="N248" s="3"/>
      <c r="O248" s="21" t="s">
        <v>78</v>
      </c>
      <c r="P248" s="21" t="s">
        <v>48</v>
      </c>
      <c r="Q248" s="21" t="s">
        <v>62</v>
      </c>
      <c r="R248" s="2">
        <v>650</v>
      </c>
      <c r="S248" s="2">
        <v>1099</v>
      </c>
      <c r="T248" s="2">
        <v>449</v>
      </c>
      <c r="U248" s="4">
        <v>40.855323020928111</v>
      </c>
      <c r="V248" s="21" t="s">
        <v>98</v>
      </c>
      <c r="W248">
        <v>1</v>
      </c>
      <c r="X248"/>
      <c r="Y248" s="20"/>
    </row>
    <row r="249" spans="1:25" x14ac:dyDescent="0.3">
      <c r="A249" s="20" t="s">
        <v>410</v>
      </c>
      <c r="B249" s="21" t="s">
        <v>14</v>
      </c>
      <c r="C249" s="21" t="s">
        <v>192</v>
      </c>
      <c r="D249" s="3">
        <v>45676</v>
      </c>
      <c r="E249" s="21" t="s">
        <v>31</v>
      </c>
      <c r="F249" s="21" t="s">
        <v>32</v>
      </c>
      <c r="G249" s="21" t="s">
        <v>42</v>
      </c>
      <c r="H249" s="2">
        <v>3</v>
      </c>
      <c r="I249" s="2">
        <v>349</v>
      </c>
      <c r="J249" s="2">
        <v>35</v>
      </c>
      <c r="K249" s="21" t="s">
        <v>97</v>
      </c>
      <c r="L249" s="21" t="s">
        <v>20</v>
      </c>
      <c r="M249" s="21" t="s">
        <v>30</v>
      </c>
      <c r="N249" s="3">
        <v>45263</v>
      </c>
      <c r="O249" s="21" t="s">
        <v>43</v>
      </c>
      <c r="P249" s="21" t="s">
        <v>44</v>
      </c>
      <c r="Q249" s="21" t="s">
        <v>45</v>
      </c>
      <c r="R249" s="2">
        <v>165</v>
      </c>
      <c r="S249" s="2">
        <v>1012</v>
      </c>
      <c r="T249" s="2">
        <v>517</v>
      </c>
      <c r="U249" s="4">
        <v>51.086956521739133</v>
      </c>
      <c r="V249" s="21" t="s">
        <v>98</v>
      </c>
      <c r="W249">
        <v>1</v>
      </c>
      <c r="X249">
        <v>20</v>
      </c>
      <c r="Y249" s="20">
        <v>1</v>
      </c>
    </row>
    <row r="250" spans="1:25" x14ac:dyDescent="0.3">
      <c r="A250" s="20" t="s">
        <v>410</v>
      </c>
      <c r="B250" s="21" t="s">
        <v>14</v>
      </c>
      <c r="C250" s="21" t="s">
        <v>193</v>
      </c>
      <c r="D250" s="3">
        <v>45676</v>
      </c>
      <c r="E250" s="21" t="s">
        <v>5</v>
      </c>
      <c r="F250" s="21" t="s">
        <v>6</v>
      </c>
      <c r="G250" s="21" t="s">
        <v>81</v>
      </c>
      <c r="H250" s="2">
        <v>2</v>
      </c>
      <c r="I250" s="2">
        <v>89</v>
      </c>
      <c r="J250" s="2">
        <v>0</v>
      </c>
      <c r="K250" s="21" t="s">
        <v>97</v>
      </c>
      <c r="L250" s="21" t="s">
        <v>7</v>
      </c>
      <c r="M250" s="21" t="s">
        <v>8</v>
      </c>
      <c r="N250" s="3">
        <v>44635</v>
      </c>
      <c r="O250" s="21" t="s">
        <v>82</v>
      </c>
      <c r="P250" s="21" t="s">
        <v>52</v>
      </c>
      <c r="Q250" s="21" t="s">
        <v>83</v>
      </c>
      <c r="R250" s="2">
        <v>42</v>
      </c>
      <c r="S250" s="2">
        <v>178</v>
      </c>
      <c r="T250" s="2">
        <v>94</v>
      </c>
      <c r="U250" s="4">
        <v>52.80898876404494</v>
      </c>
      <c r="V250" s="21" t="s">
        <v>98</v>
      </c>
      <c r="W250">
        <v>1</v>
      </c>
      <c r="X250">
        <v>52</v>
      </c>
      <c r="Y250" s="20">
        <v>1</v>
      </c>
    </row>
    <row r="251" spans="1:25" x14ac:dyDescent="0.3">
      <c r="A251" s="20" t="s">
        <v>410</v>
      </c>
      <c r="B251" s="21" t="s">
        <v>14</v>
      </c>
      <c r="C251" s="21" t="s">
        <v>194</v>
      </c>
      <c r="D251" s="3">
        <v>45677</v>
      </c>
      <c r="E251" s="21" t="s">
        <v>18</v>
      </c>
      <c r="F251" s="21" t="s">
        <v>19</v>
      </c>
      <c r="G251" s="21" t="s">
        <v>84</v>
      </c>
      <c r="H251" s="2">
        <v>1</v>
      </c>
      <c r="I251" s="2">
        <v>2199</v>
      </c>
      <c r="J251" s="2">
        <v>0</v>
      </c>
      <c r="K251" s="21" t="s">
        <v>97</v>
      </c>
      <c r="L251" s="21" t="s">
        <v>20</v>
      </c>
      <c r="M251" s="21" t="s">
        <v>13</v>
      </c>
      <c r="N251" s="3">
        <v>44931</v>
      </c>
      <c r="O251" s="21" t="s">
        <v>85</v>
      </c>
      <c r="P251" s="21" t="s">
        <v>44</v>
      </c>
      <c r="Q251" s="21" t="s">
        <v>56</v>
      </c>
      <c r="R251" s="2">
        <v>1380</v>
      </c>
      <c r="S251" s="2">
        <v>2199</v>
      </c>
      <c r="T251" s="2">
        <v>819</v>
      </c>
      <c r="U251" s="4">
        <v>37.244201909959074</v>
      </c>
      <c r="V251" s="21" t="s">
        <v>98</v>
      </c>
      <c r="W251">
        <v>1</v>
      </c>
      <c r="X251">
        <v>35</v>
      </c>
      <c r="Y251" s="20">
        <v>1</v>
      </c>
    </row>
    <row r="252" spans="1:25" x14ac:dyDescent="0.3">
      <c r="A252" s="20" t="s">
        <v>410</v>
      </c>
      <c r="B252" s="21" t="s">
        <v>14</v>
      </c>
      <c r="C252" s="21" t="s">
        <v>195</v>
      </c>
      <c r="D252" s="3">
        <v>45678</v>
      </c>
      <c r="E252" s="21" t="s">
        <v>25</v>
      </c>
      <c r="F252" s="21" t="s">
        <v>26</v>
      </c>
      <c r="G252" s="21" t="s">
        <v>46</v>
      </c>
      <c r="H252" s="2">
        <v>2</v>
      </c>
      <c r="I252" s="2">
        <v>199</v>
      </c>
      <c r="J252" s="2">
        <v>20</v>
      </c>
      <c r="K252" s="21" t="s">
        <v>97</v>
      </c>
      <c r="L252" s="21" t="s">
        <v>27</v>
      </c>
      <c r="M252" s="21" t="s">
        <v>13</v>
      </c>
      <c r="N252" s="3">
        <v>45168</v>
      </c>
      <c r="O252" s="21" t="s">
        <v>47</v>
      </c>
      <c r="P252" s="21" t="s">
        <v>48</v>
      </c>
      <c r="Q252" s="21" t="s">
        <v>49</v>
      </c>
      <c r="R252" s="2">
        <v>95</v>
      </c>
      <c r="S252" s="2">
        <v>378</v>
      </c>
      <c r="T252" s="2">
        <v>188</v>
      </c>
      <c r="U252" s="4">
        <v>49.735449735449734</v>
      </c>
      <c r="V252" s="21" t="s">
        <v>98</v>
      </c>
      <c r="W252">
        <v>1</v>
      </c>
      <c r="X252">
        <v>46</v>
      </c>
      <c r="Y252" s="20">
        <v>1</v>
      </c>
    </row>
    <row r="253" spans="1:25" x14ac:dyDescent="0.3">
      <c r="A253" s="20" t="s">
        <v>410</v>
      </c>
      <c r="B253" s="21" t="s">
        <v>14</v>
      </c>
      <c r="C253" s="21" t="s">
        <v>196</v>
      </c>
      <c r="D253" s="3">
        <v>45678</v>
      </c>
      <c r="E253" s="21" t="s">
        <v>101</v>
      </c>
      <c r="F253" s="21" t="s">
        <v>170</v>
      </c>
      <c r="G253" s="21" t="s">
        <v>79</v>
      </c>
      <c r="H253" s="2">
        <v>1</v>
      </c>
      <c r="I253" s="2">
        <v>189</v>
      </c>
      <c r="J253" s="2">
        <v>0</v>
      </c>
      <c r="K253" s="21" t="s">
        <v>97</v>
      </c>
      <c r="L253" s="21" t="s">
        <v>265</v>
      </c>
      <c r="M253" s="21" t="s">
        <v>101</v>
      </c>
      <c r="N253" s="3"/>
      <c r="O253" s="21" t="s">
        <v>80</v>
      </c>
      <c r="P253" s="21" t="s">
        <v>44</v>
      </c>
      <c r="Q253" s="21" t="s">
        <v>70</v>
      </c>
      <c r="R253" s="2">
        <v>95</v>
      </c>
      <c r="S253" s="2">
        <v>189</v>
      </c>
      <c r="T253" s="2">
        <v>94</v>
      </c>
      <c r="U253" s="4">
        <v>49.735449735449734</v>
      </c>
      <c r="V253" s="21" t="s">
        <v>98</v>
      </c>
      <c r="W253">
        <v>1</v>
      </c>
      <c r="X253"/>
      <c r="Y253" s="20"/>
    </row>
    <row r="254" spans="1:25" x14ac:dyDescent="0.3">
      <c r="A254" s="20" t="s">
        <v>410</v>
      </c>
      <c r="B254" s="21" t="s">
        <v>14</v>
      </c>
      <c r="C254" s="21" t="s">
        <v>197</v>
      </c>
      <c r="D254" s="3">
        <v>45679</v>
      </c>
      <c r="E254" s="21" t="s">
        <v>21</v>
      </c>
      <c r="F254" s="21" t="s">
        <v>22</v>
      </c>
      <c r="G254" s="21" t="s">
        <v>50</v>
      </c>
      <c r="H254" s="2">
        <v>3</v>
      </c>
      <c r="I254" s="2">
        <v>45</v>
      </c>
      <c r="J254" s="2">
        <v>0</v>
      </c>
      <c r="K254" s="21" t="s">
        <v>97</v>
      </c>
      <c r="L254" s="21" t="s">
        <v>7</v>
      </c>
      <c r="M254" s="21" t="s">
        <v>8</v>
      </c>
      <c r="N254" s="3">
        <v>44948</v>
      </c>
      <c r="O254" s="21" t="s">
        <v>51</v>
      </c>
      <c r="P254" s="21" t="s">
        <v>52</v>
      </c>
      <c r="Q254" s="21" t="s">
        <v>53</v>
      </c>
      <c r="R254" s="2">
        <v>18</v>
      </c>
      <c r="S254" s="2">
        <v>135</v>
      </c>
      <c r="T254" s="2">
        <v>81</v>
      </c>
      <c r="U254" s="4">
        <v>60</v>
      </c>
      <c r="V254" s="21" t="s">
        <v>98</v>
      </c>
      <c r="W254">
        <v>1</v>
      </c>
      <c r="X254">
        <v>32</v>
      </c>
      <c r="Y254" s="20">
        <v>1</v>
      </c>
    </row>
    <row r="255" spans="1:25" x14ac:dyDescent="0.3">
      <c r="A255" s="20" t="s">
        <v>410</v>
      </c>
      <c r="B255" s="21" t="s">
        <v>14</v>
      </c>
      <c r="C255" s="21" t="s">
        <v>198</v>
      </c>
      <c r="D255" s="3">
        <v>45680</v>
      </c>
      <c r="E255" s="21" t="s">
        <v>23</v>
      </c>
      <c r="F255" s="21" t="s">
        <v>24</v>
      </c>
      <c r="G255" s="21" t="s">
        <v>60</v>
      </c>
      <c r="H255" s="2">
        <v>1</v>
      </c>
      <c r="I255" s="2">
        <v>899</v>
      </c>
      <c r="J255" s="2">
        <v>89.9</v>
      </c>
      <c r="K255" s="21" t="s">
        <v>97</v>
      </c>
      <c r="L255" s="21" t="s">
        <v>7</v>
      </c>
      <c r="M255" s="21" t="s">
        <v>13</v>
      </c>
      <c r="N255" s="3">
        <v>45030</v>
      </c>
      <c r="O255" s="21" t="s">
        <v>61</v>
      </c>
      <c r="P255" s="21" t="s">
        <v>48</v>
      </c>
      <c r="Q255" s="21" t="s">
        <v>62</v>
      </c>
      <c r="R255" s="2">
        <v>520</v>
      </c>
      <c r="S255" s="2">
        <v>809.1</v>
      </c>
      <c r="T255" s="2">
        <v>289.10000000000002</v>
      </c>
      <c r="U255" s="4">
        <v>35.731059201582006</v>
      </c>
      <c r="V255" s="21" t="s">
        <v>98</v>
      </c>
      <c r="W255">
        <v>1</v>
      </c>
      <c r="X255">
        <v>18</v>
      </c>
      <c r="Y255" s="20">
        <v>1</v>
      </c>
    </row>
    <row r="256" spans="1:25" x14ac:dyDescent="0.3">
      <c r="A256" s="20" t="s">
        <v>410</v>
      </c>
      <c r="B256" s="21" t="s">
        <v>14</v>
      </c>
      <c r="C256" s="21" t="s">
        <v>199</v>
      </c>
      <c r="D256" s="3">
        <v>45681</v>
      </c>
      <c r="E256" s="21" t="s">
        <v>101</v>
      </c>
      <c r="F256" s="21" t="s">
        <v>170</v>
      </c>
      <c r="G256" s="21" t="s">
        <v>57</v>
      </c>
      <c r="H256" s="2">
        <v>2</v>
      </c>
      <c r="I256" s="2">
        <v>529</v>
      </c>
      <c r="J256" s="2">
        <v>0</v>
      </c>
      <c r="K256" s="21" t="s">
        <v>97</v>
      </c>
      <c r="L256" s="21" t="s">
        <v>265</v>
      </c>
      <c r="M256" s="21" t="s">
        <v>101</v>
      </c>
      <c r="N256" s="3"/>
      <c r="O256" s="21" t="s">
        <v>58</v>
      </c>
      <c r="P256" s="21" t="s">
        <v>44</v>
      </c>
      <c r="Q256" s="21" t="s">
        <v>59</v>
      </c>
      <c r="R256" s="2">
        <v>260</v>
      </c>
      <c r="S256" s="2">
        <v>1058</v>
      </c>
      <c r="T256" s="2">
        <v>538</v>
      </c>
      <c r="U256" s="4">
        <v>50.850661625708881</v>
      </c>
      <c r="V256" s="21" t="s">
        <v>98</v>
      </c>
      <c r="W256">
        <v>1</v>
      </c>
      <c r="X256"/>
      <c r="Y256" s="20"/>
    </row>
    <row r="257" spans="1:25" x14ac:dyDescent="0.3">
      <c r="A257" s="20" t="s">
        <v>410</v>
      </c>
      <c r="B257" s="21" t="s">
        <v>14</v>
      </c>
      <c r="C257" s="21" t="s">
        <v>200</v>
      </c>
      <c r="D257" s="3">
        <v>45681</v>
      </c>
      <c r="E257" s="21" t="s">
        <v>28</v>
      </c>
      <c r="F257" s="21" t="s">
        <v>29</v>
      </c>
      <c r="G257" s="21" t="s">
        <v>63</v>
      </c>
      <c r="H257" s="2">
        <v>4</v>
      </c>
      <c r="I257" s="2">
        <v>29</v>
      </c>
      <c r="J257" s="2">
        <v>0</v>
      </c>
      <c r="K257" s="21" t="s">
        <v>97</v>
      </c>
      <c r="L257" s="21" t="s">
        <v>7</v>
      </c>
      <c r="M257" s="21" t="s">
        <v>30</v>
      </c>
      <c r="N257" s="3">
        <v>45211</v>
      </c>
      <c r="O257" s="21" t="s">
        <v>64</v>
      </c>
      <c r="P257" s="21" t="s">
        <v>52</v>
      </c>
      <c r="Q257" s="21" t="s">
        <v>62</v>
      </c>
      <c r="R257" s="2">
        <v>11</v>
      </c>
      <c r="S257" s="2">
        <v>116</v>
      </c>
      <c r="T257" s="2">
        <v>72</v>
      </c>
      <c r="U257" s="4">
        <v>62.068965517241381</v>
      </c>
      <c r="V257" s="21" t="s">
        <v>98</v>
      </c>
      <c r="W257">
        <v>1</v>
      </c>
      <c r="X257">
        <v>19</v>
      </c>
      <c r="Y257" s="20">
        <v>1</v>
      </c>
    </row>
    <row r="258" spans="1:25" x14ac:dyDescent="0.3">
      <c r="A258" s="20" t="s">
        <v>410</v>
      </c>
      <c r="B258" s="21" t="s">
        <v>14</v>
      </c>
      <c r="C258" s="21" t="s">
        <v>201</v>
      </c>
      <c r="D258" s="3">
        <v>45682</v>
      </c>
      <c r="E258" s="21" t="s">
        <v>31</v>
      </c>
      <c r="F258" s="21" t="s">
        <v>32</v>
      </c>
      <c r="G258" s="21" t="s">
        <v>75</v>
      </c>
      <c r="H258" s="2">
        <v>1</v>
      </c>
      <c r="I258" s="2">
        <v>599</v>
      </c>
      <c r="J258" s="2">
        <v>0</v>
      </c>
      <c r="K258" s="21" t="s">
        <v>97</v>
      </c>
      <c r="L258" s="21" t="s">
        <v>20</v>
      </c>
      <c r="M258" s="21" t="s">
        <v>30</v>
      </c>
      <c r="N258" s="3">
        <v>45263</v>
      </c>
      <c r="O258" s="21" t="s">
        <v>76</v>
      </c>
      <c r="P258" s="21" t="s">
        <v>44</v>
      </c>
      <c r="Q258" s="21" t="s">
        <v>59</v>
      </c>
      <c r="R258" s="2">
        <v>350</v>
      </c>
      <c r="S258" s="2">
        <v>599</v>
      </c>
      <c r="T258" s="2">
        <v>249</v>
      </c>
      <c r="U258" s="4">
        <v>41.569282136894827</v>
      </c>
      <c r="V258" s="21" t="s">
        <v>98</v>
      </c>
      <c r="W258">
        <v>1</v>
      </c>
      <c r="X258">
        <v>20</v>
      </c>
      <c r="Y258" s="20">
        <v>1</v>
      </c>
    </row>
    <row r="259" spans="1:25" x14ac:dyDescent="0.3">
      <c r="A259" s="20" t="s">
        <v>410</v>
      </c>
      <c r="B259" s="21" t="s">
        <v>14</v>
      </c>
      <c r="C259" s="21" t="s">
        <v>202</v>
      </c>
      <c r="D259" s="3">
        <v>45683</v>
      </c>
      <c r="E259" s="21" t="s">
        <v>5</v>
      </c>
      <c r="F259" s="21" t="s">
        <v>6</v>
      </c>
      <c r="G259" s="21" t="s">
        <v>71</v>
      </c>
      <c r="H259" s="2">
        <v>2</v>
      </c>
      <c r="I259" s="2">
        <v>459</v>
      </c>
      <c r="J259" s="2">
        <v>46</v>
      </c>
      <c r="K259" s="21" t="s">
        <v>97</v>
      </c>
      <c r="L259" s="21" t="s">
        <v>7</v>
      </c>
      <c r="M259" s="21" t="s">
        <v>8</v>
      </c>
      <c r="N259" s="3">
        <v>44635</v>
      </c>
      <c r="O259" s="21" t="s">
        <v>72</v>
      </c>
      <c r="P259" s="21" t="s">
        <v>48</v>
      </c>
      <c r="Q259" s="21" t="s">
        <v>49</v>
      </c>
      <c r="R259" s="2">
        <v>210</v>
      </c>
      <c r="S259" s="2">
        <v>872</v>
      </c>
      <c r="T259" s="2">
        <v>452</v>
      </c>
      <c r="U259" s="4">
        <v>51.834862385321102</v>
      </c>
      <c r="V259" s="21" t="s">
        <v>98</v>
      </c>
      <c r="W259">
        <v>1</v>
      </c>
      <c r="X259">
        <v>52</v>
      </c>
      <c r="Y259" s="20">
        <v>1</v>
      </c>
    </row>
    <row r="260" spans="1:25" x14ac:dyDescent="0.3">
      <c r="A260" s="20" t="s">
        <v>410</v>
      </c>
      <c r="B260" s="21" t="s">
        <v>14</v>
      </c>
      <c r="C260" s="21" t="s">
        <v>203</v>
      </c>
      <c r="D260" s="3">
        <v>45683</v>
      </c>
      <c r="E260" s="21" t="s">
        <v>10</v>
      </c>
      <c r="F260" s="21" t="s">
        <v>11</v>
      </c>
      <c r="G260" s="21" t="s">
        <v>73</v>
      </c>
      <c r="H260" s="2">
        <v>5</v>
      </c>
      <c r="I260" s="2">
        <v>19</v>
      </c>
      <c r="J260" s="2">
        <v>0</v>
      </c>
      <c r="K260" s="21" t="s">
        <v>97</v>
      </c>
      <c r="L260" s="21" t="s">
        <v>12</v>
      </c>
      <c r="M260" s="21" t="s">
        <v>13</v>
      </c>
      <c r="N260" s="3">
        <v>44744</v>
      </c>
      <c r="O260" s="21" t="s">
        <v>74</v>
      </c>
      <c r="P260" s="21" t="s">
        <v>52</v>
      </c>
      <c r="Q260" s="21" t="s">
        <v>62</v>
      </c>
      <c r="R260" s="2">
        <v>8</v>
      </c>
      <c r="S260" s="2">
        <v>95</v>
      </c>
      <c r="T260" s="2">
        <v>55</v>
      </c>
      <c r="U260" s="4">
        <v>57.894736842105267</v>
      </c>
      <c r="V260" s="21" t="s">
        <v>98</v>
      </c>
      <c r="W260">
        <v>1</v>
      </c>
      <c r="X260">
        <v>32</v>
      </c>
      <c r="Y260" s="20">
        <v>1</v>
      </c>
    </row>
    <row r="261" spans="1:25" x14ac:dyDescent="0.3">
      <c r="A261" s="20" t="s">
        <v>410</v>
      </c>
      <c r="B261" s="21" t="s">
        <v>14</v>
      </c>
      <c r="C261" s="21" t="s">
        <v>204</v>
      </c>
      <c r="D261" s="3">
        <v>45684</v>
      </c>
      <c r="E261" s="21" t="s">
        <v>18</v>
      </c>
      <c r="F261" s="21" t="s">
        <v>19</v>
      </c>
      <c r="G261" s="21" t="s">
        <v>68</v>
      </c>
      <c r="H261" s="2">
        <v>1</v>
      </c>
      <c r="I261" s="2">
        <v>229</v>
      </c>
      <c r="J261" s="2">
        <v>22.9</v>
      </c>
      <c r="K261" s="21" t="s">
        <v>97</v>
      </c>
      <c r="L261" s="21" t="s">
        <v>20</v>
      </c>
      <c r="M261" s="21" t="s">
        <v>13</v>
      </c>
      <c r="N261" s="3">
        <v>44931</v>
      </c>
      <c r="O261" s="21" t="s">
        <v>69</v>
      </c>
      <c r="P261" s="21" t="s">
        <v>44</v>
      </c>
      <c r="Q261" s="21" t="s">
        <v>70</v>
      </c>
      <c r="R261" s="2">
        <v>110</v>
      </c>
      <c r="S261" s="2">
        <v>206.1</v>
      </c>
      <c r="T261" s="2">
        <v>96.1</v>
      </c>
      <c r="U261" s="4">
        <v>46.62785055798156</v>
      </c>
      <c r="V261" s="21" t="s">
        <v>98</v>
      </c>
      <c r="W261">
        <v>1</v>
      </c>
      <c r="X261">
        <v>35</v>
      </c>
      <c r="Y261" s="20">
        <v>1</v>
      </c>
    </row>
    <row r="262" spans="1:25" x14ac:dyDescent="0.3">
      <c r="A262" s="20" t="s">
        <v>410</v>
      </c>
      <c r="B262" s="21" t="s">
        <v>14</v>
      </c>
      <c r="C262" s="21" t="s">
        <v>205</v>
      </c>
      <c r="D262" s="3">
        <v>45685</v>
      </c>
      <c r="E262" s="21" t="s">
        <v>101</v>
      </c>
      <c r="F262" s="21" t="s">
        <v>170</v>
      </c>
      <c r="G262" s="21" t="s">
        <v>65</v>
      </c>
      <c r="H262" s="2">
        <v>2</v>
      </c>
      <c r="I262" s="2">
        <v>749</v>
      </c>
      <c r="J262" s="2">
        <v>0</v>
      </c>
      <c r="K262" s="21" t="s">
        <v>97</v>
      </c>
      <c r="L262" s="21" t="s">
        <v>265</v>
      </c>
      <c r="M262" s="21" t="s">
        <v>101</v>
      </c>
      <c r="N262" s="3"/>
      <c r="O262" s="21" t="s">
        <v>66</v>
      </c>
      <c r="P262" s="21" t="s">
        <v>44</v>
      </c>
      <c r="Q262" s="21" t="s">
        <v>67</v>
      </c>
      <c r="R262" s="2">
        <v>490</v>
      </c>
      <c r="S262" s="2">
        <v>1498</v>
      </c>
      <c r="T262" s="2">
        <v>518</v>
      </c>
      <c r="U262" s="4">
        <v>34.579439252336449</v>
      </c>
      <c r="V262" s="21" t="s">
        <v>98</v>
      </c>
      <c r="W262">
        <v>1</v>
      </c>
      <c r="X262"/>
      <c r="Y262" s="20"/>
    </row>
    <row r="263" spans="1:25" x14ac:dyDescent="0.3">
      <c r="A263" s="20" t="s">
        <v>410</v>
      </c>
      <c r="B263" s="21" t="s">
        <v>14</v>
      </c>
      <c r="C263" s="21" t="s">
        <v>206</v>
      </c>
      <c r="D263" s="3">
        <v>45685</v>
      </c>
      <c r="E263" s="21" t="s">
        <v>25</v>
      </c>
      <c r="F263" s="21" t="s">
        <v>26</v>
      </c>
      <c r="G263" s="21" t="s">
        <v>77</v>
      </c>
      <c r="H263" s="2">
        <v>1</v>
      </c>
      <c r="I263" s="2">
        <v>1099</v>
      </c>
      <c r="J263" s="2">
        <v>110</v>
      </c>
      <c r="K263" s="21" t="s">
        <v>97</v>
      </c>
      <c r="L263" s="21" t="s">
        <v>27</v>
      </c>
      <c r="M263" s="21" t="s">
        <v>13</v>
      </c>
      <c r="N263" s="3">
        <v>45168</v>
      </c>
      <c r="O263" s="21" t="s">
        <v>78</v>
      </c>
      <c r="P263" s="21" t="s">
        <v>48</v>
      </c>
      <c r="Q263" s="21" t="s">
        <v>62</v>
      </c>
      <c r="R263" s="2">
        <v>650</v>
      </c>
      <c r="S263" s="2">
        <v>989</v>
      </c>
      <c r="T263" s="2">
        <v>339</v>
      </c>
      <c r="U263" s="4">
        <v>34.277047522750252</v>
      </c>
      <c r="V263" s="21" t="s">
        <v>98</v>
      </c>
      <c r="W263">
        <v>1</v>
      </c>
      <c r="X263">
        <v>46</v>
      </c>
      <c r="Y263" s="20">
        <v>1</v>
      </c>
    </row>
    <row r="264" spans="1:25" x14ac:dyDescent="0.3">
      <c r="A264" s="20" t="s">
        <v>410</v>
      </c>
      <c r="B264" s="21" t="s">
        <v>14</v>
      </c>
      <c r="C264" s="21" t="s">
        <v>207</v>
      </c>
      <c r="D264" s="3">
        <v>45686</v>
      </c>
      <c r="E264" s="21" t="s">
        <v>21</v>
      </c>
      <c r="F264" s="21" t="s">
        <v>22</v>
      </c>
      <c r="G264" s="21" t="s">
        <v>81</v>
      </c>
      <c r="H264" s="2">
        <v>1</v>
      </c>
      <c r="I264" s="2">
        <v>89</v>
      </c>
      <c r="J264" s="2">
        <v>0</v>
      </c>
      <c r="K264" s="21" t="s">
        <v>97</v>
      </c>
      <c r="L264" s="21" t="s">
        <v>7</v>
      </c>
      <c r="M264" s="21" t="s">
        <v>8</v>
      </c>
      <c r="N264" s="3">
        <v>44948</v>
      </c>
      <c r="O264" s="21" t="s">
        <v>82</v>
      </c>
      <c r="P264" s="21" t="s">
        <v>52</v>
      </c>
      <c r="Q264" s="21" t="s">
        <v>83</v>
      </c>
      <c r="R264" s="2">
        <v>42</v>
      </c>
      <c r="S264" s="2">
        <v>89</v>
      </c>
      <c r="T264" s="2">
        <v>47</v>
      </c>
      <c r="U264" s="4">
        <v>52.80898876404494</v>
      </c>
      <c r="V264" s="21" t="s">
        <v>98</v>
      </c>
      <c r="W264">
        <v>1</v>
      </c>
      <c r="X264">
        <v>32</v>
      </c>
      <c r="Y264" s="20">
        <v>1</v>
      </c>
    </row>
    <row r="265" spans="1:25" x14ac:dyDescent="0.3">
      <c r="A265" s="20" t="s">
        <v>410</v>
      </c>
      <c r="B265" s="21" t="s">
        <v>14</v>
      </c>
      <c r="C265" s="21" t="s">
        <v>208</v>
      </c>
      <c r="D265" s="3">
        <v>45686</v>
      </c>
      <c r="E265" s="21" t="s">
        <v>15</v>
      </c>
      <c r="F265" s="21" t="s">
        <v>16</v>
      </c>
      <c r="G265" s="21" t="s">
        <v>42</v>
      </c>
      <c r="H265" s="2">
        <v>2</v>
      </c>
      <c r="I265" s="2">
        <v>349</v>
      </c>
      <c r="J265" s="2">
        <v>34.9</v>
      </c>
      <c r="K265" s="21" t="s">
        <v>97</v>
      </c>
      <c r="L265" s="21" t="s">
        <v>7</v>
      </c>
      <c r="M265" s="21" t="s">
        <v>13</v>
      </c>
      <c r="N265" s="3">
        <v>44883</v>
      </c>
      <c r="O265" s="21" t="s">
        <v>43</v>
      </c>
      <c r="P265" s="21" t="s">
        <v>44</v>
      </c>
      <c r="Q265" s="21" t="s">
        <v>45</v>
      </c>
      <c r="R265" s="2">
        <v>165</v>
      </c>
      <c r="S265" s="2">
        <v>663.1</v>
      </c>
      <c r="T265" s="2">
        <v>333.1</v>
      </c>
      <c r="U265" s="4">
        <v>50.233750565525561</v>
      </c>
      <c r="V265" s="21" t="s">
        <v>98</v>
      </c>
      <c r="W265">
        <v>1</v>
      </c>
      <c r="X265">
        <v>32</v>
      </c>
      <c r="Y265" s="20">
        <v>1</v>
      </c>
    </row>
    <row r="266" spans="1:25" x14ac:dyDescent="0.3">
      <c r="A266" s="20" t="s">
        <v>410</v>
      </c>
      <c r="B266" s="21" t="s">
        <v>14</v>
      </c>
      <c r="C266" s="21" t="s">
        <v>209</v>
      </c>
      <c r="D266" s="3">
        <v>45687</v>
      </c>
      <c r="E266" s="21" t="s">
        <v>101</v>
      </c>
      <c r="F266" s="21" t="s">
        <v>170</v>
      </c>
      <c r="G266" s="21" t="s">
        <v>46</v>
      </c>
      <c r="H266" s="2">
        <v>3</v>
      </c>
      <c r="I266" s="2">
        <v>199</v>
      </c>
      <c r="J266" s="2">
        <v>0</v>
      </c>
      <c r="K266" s="21" t="s">
        <v>97</v>
      </c>
      <c r="L266" s="21" t="s">
        <v>265</v>
      </c>
      <c r="M266" s="21" t="s">
        <v>101</v>
      </c>
      <c r="N266" s="3"/>
      <c r="O266" s="21" t="s">
        <v>47</v>
      </c>
      <c r="P266" s="21" t="s">
        <v>48</v>
      </c>
      <c r="Q266" s="21" t="s">
        <v>49</v>
      </c>
      <c r="R266" s="2">
        <v>95</v>
      </c>
      <c r="S266" s="2">
        <v>597</v>
      </c>
      <c r="T266" s="2">
        <v>312</v>
      </c>
      <c r="U266" s="4">
        <v>52.261306532663319</v>
      </c>
      <c r="V266" s="21" t="s">
        <v>98</v>
      </c>
      <c r="W266">
        <v>1</v>
      </c>
      <c r="X266"/>
      <c r="Y266" s="20"/>
    </row>
    <row r="267" spans="1:25" x14ac:dyDescent="0.3">
      <c r="A267" s="20" t="s">
        <v>410</v>
      </c>
      <c r="B267" s="21" t="s">
        <v>14</v>
      </c>
      <c r="C267" s="21" t="s">
        <v>210</v>
      </c>
      <c r="D267" s="3">
        <v>45687</v>
      </c>
      <c r="E267" s="21" t="s">
        <v>23</v>
      </c>
      <c r="F267" s="21" t="s">
        <v>24</v>
      </c>
      <c r="G267" s="21" t="s">
        <v>84</v>
      </c>
      <c r="H267" s="2">
        <v>1</v>
      </c>
      <c r="I267" s="2">
        <v>2199</v>
      </c>
      <c r="J267" s="2">
        <v>220</v>
      </c>
      <c r="K267" s="21" t="s">
        <v>97</v>
      </c>
      <c r="L267" s="21" t="s">
        <v>7</v>
      </c>
      <c r="M267" s="21" t="s">
        <v>13</v>
      </c>
      <c r="N267" s="3">
        <v>45030</v>
      </c>
      <c r="O267" s="21" t="s">
        <v>85</v>
      </c>
      <c r="P267" s="21" t="s">
        <v>44</v>
      </c>
      <c r="Q267" s="21" t="s">
        <v>56</v>
      </c>
      <c r="R267" s="2">
        <v>1380</v>
      </c>
      <c r="S267" s="2">
        <v>1979</v>
      </c>
      <c r="T267" s="2">
        <v>599</v>
      </c>
      <c r="U267" s="4">
        <v>30.267812026275898</v>
      </c>
      <c r="V267" s="21" t="s">
        <v>98</v>
      </c>
      <c r="W267">
        <v>1</v>
      </c>
      <c r="X267">
        <v>18</v>
      </c>
      <c r="Y267" s="20">
        <v>1</v>
      </c>
    </row>
    <row r="268" spans="1:25" x14ac:dyDescent="0.3">
      <c r="A268" s="20" t="s">
        <v>410</v>
      </c>
      <c r="B268" s="21" t="s">
        <v>14</v>
      </c>
      <c r="C268" s="21" t="s">
        <v>211</v>
      </c>
      <c r="D268" s="3">
        <v>45688</v>
      </c>
      <c r="E268" s="21" t="s">
        <v>28</v>
      </c>
      <c r="F268" s="21" t="s">
        <v>29</v>
      </c>
      <c r="G268" s="21" t="s">
        <v>79</v>
      </c>
      <c r="H268" s="2">
        <v>2</v>
      </c>
      <c r="I268" s="2">
        <v>189</v>
      </c>
      <c r="J268" s="2">
        <v>0</v>
      </c>
      <c r="K268" s="21" t="s">
        <v>97</v>
      </c>
      <c r="L268" s="21" t="s">
        <v>7</v>
      </c>
      <c r="M268" s="21" t="s">
        <v>30</v>
      </c>
      <c r="N268" s="3">
        <v>45211</v>
      </c>
      <c r="O268" s="21" t="s">
        <v>80</v>
      </c>
      <c r="P268" s="21" t="s">
        <v>44</v>
      </c>
      <c r="Q268" s="21" t="s">
        <v>70</v>
      </c>
      <c r="R268" s="2">
        <v>95</v>
      </c>
      <c r="S268" s="2">
        <v>378</v>
      </c>
      <c r="T268" s="2">
        <v>188</v>
      </c>
      <c r="U268" s="4">
        <v>49.735449735449734</v>
      </c>
      <c r="V268" s="21" t="s">
        <v>98</v>
      </c>
      <c r="W268">
        <v>1</v>
      </c>
      <c r="X268">
        <v>19</v>
      </c>
      <c r="Y268" s="20">
        <v>1</v>
      </c>
    </row>
    <row r="269" spans="1:25" x14ac:dyDescent="0.3">
      <c r="A269" s="20" t="s">
        <v>410</v>
      </c>
      <c r="B269" s="21" t="s">
        <v>14</v>
      </c>
      <c r="C269" s="21" t="s">
        <v>212</v>
      </c>
      <c r="D269" s="3">
        <v>45688</v>
      </c>
      <c r="E269" s="21" t="s">
        <v>31</v>
      </c>
      <c r="F269" s="21" t="s">
        <v>32</v>
      </c>
      <c r="G269" s="21" t="s">
        <v>50</v>
      </c>
      <c r="H269" s="2">
        <v>4</v>
      </c>
      <c r="I269" s="2">
        <v>45</v>
      </c>
      <c r="J269" s="2">
        <v>0</v>
      </c>
      <c r="K269" s="21" t="s">
        <v>97</v>
      </c>
      <c r="L269" s="21" t="s">
        <v>20</v>
      </c>
      <c r="M269" s="21" t="s">
        <v>30</v>
      </c>
      <c r="N269" s="3">
        <v>45263</v>
      </c>
      <c r="O269" s="21" t="s">
        <v>51</v>
      </c>
      <c r="P269" s="21" t="s">
        <v>52</v>
      </c>
      <c r="Q269" s="21" t="s">
        <v>53</v>
      </c>
      <c r="R269" s="2">
        <v>18</v>
      </c>
      <c r="S269" s="2">
        <v>180</v>
      </c>
      <c r="T269" s="2">
        <v>108</v>
      </c>
      <c r="U269" s="4">
        <v>60</v>
      </c>
      <c r="V269" s="21" t="s">
        <v>98</v>
      </c>
      <c r="W269">
        <v>1</v>
      </c>
      <c r="X269">
        <v>20</v>
      </c>
      <c r="Y269" s="20">
        <v>1</v>
      </c>
    </row>
    <row r="270" spans="1:25" x14ac:dyDescent="0.3">
      <c r="A270" s="20" t="s">
        <v>547</v>
      </c>
      <c r="B270" s="21" t="s">
        <v>14</v>
      </c>
      <c r="C270" s="21" t="s">
        <v>548</v>
      </c>
      <c r="D270" s="3">
        <v>45717</v>
      </c>
      <c r="E270" s="21" t="s">
        <v>28</v>
      </c>
      <c r="F270" s="21" t="s">
        <v>29</v>
      </c>
      <c r="G270" s="21" t="s">
        <v>54</v>
      </c>
      <c r="H270" s="2">
        <v>1</v>
      </c>
      <c r="I270" s="2">
        <v>1299</v>
      </c>
      <c r="J270" s="2">
        <v>130</v>
      </c>
      <c r="K270" s="21" t="s">
        <v>97</v>
      </c>
      <c r="L270" s="21" t="s">
        <v>7</v>
      </c>
      <c r="M270" s="21" t="s">
        <v>30</v>
      </c>
      <c r="N270" s="3">
        <v>45211</v>
      </c>
      <c r="O270" s="21" t="s">
        <v>55</v>
      </c>
      <c r="P270" s="21" t="s">
        <v>44</v>
      </c>
      <c r="Q270" s="21" t="s">
        <v>56</v>
      </c>
      <c r="R270" s="2">
        <v>820</v>
      </c>
      <c r="S270" s="2">
        <v>1169</v>
      </c>
      <c r="T270" s="2">
        <v>349</v>
      </c>
      <c r="U270" s="4">
        <v>29.854576561163388</v>
      </c>
      <c r="V270" s="21" t="s">
        <v>471</v>
      </c>
      <c r="W270">
        <v>1</v>
      </c>
      <c r="X270">
        <v>19</v>
      </c>
      <c r="Y270" s="20">
        <v>1</v>
      </c>
    </row>
    <row r="271" spans="1:25" x14ac:dyDescent="0.3">
      <c r="A271" s="20" t="s">
        <v>547</v>
      </c>
      <c r="B271" s="21" t="s">
        <v>14</v>
      </c>
      <c r="C271" s="21" t="s">
        <v>549</v>
      </c>
      <c r="D271" s="3">
        <v>45717</v>
      </c>
      <c r="E271" s="21" t="s">
        <v>31</v>
      </c>
      <c r="F271" s="21" t="s">
        <v>32</v>
      </c>
      <c r="G271" s="21" t="s">
        <v>42</v>
      </c>
      <c r="H271" s="2">
        <v>2</v>
      </c>
      <c r="I271" s="2">
        <v>349</v>
      </c>
      <c r="J271" s="2">
        <v>34.9</v>
      </c>
      <c r="K271" s="21" t="s">
        <v>97</v>
      </c>
      <c r="L271" s="21" t="s">
        <v>20</v>
      </c>
      <c r="M271" s="21" t="s">
        <v>30</v>
      </c>
      <c r="N271" s="3">
        <v>45263</v>
      </c>
      <c r="O271" s="21" t="s">
        <v>43</v>
      </c>
      <c r="P271" s="21" t="s">
        <v>44</v>
      </c>
      <c r="Q271" s="21" t="s">
        <v>45</v>
      </c>
      <c r="R271" s="2">
        <v>165</v>
      </c>
      <c r="S271" s="2">
        <v>663.1</v>
      </c>
      <c r="T271" s="2">
        <v>333.1</v>
      </c>
      <c r="U271" s="4">
        <v>50.233750565525561</v>
      </c>
      <c r="V271" s="21" t="s">
        <v>471</v>
      </c>
      <c r="W271">
        <v>1</v>
      </c>
      <c r="X271">
        <v>20</v>
      </c>
      <c r="Y271" s="20">
        <v>1</v>
      </c>
    </row>
    <row r="272" spans="1:25" x14ac:dyDescent="0.3">
      <c r="A272" s="20" t="s">
        <v>547</v>
      </c>
      <c r="B272" s="21" t="s">
        <v>14</v>
      </c>
      <c r="C272" s="21" t="s">
        <v>550</v>
      </c>
      <c r="D272" s="3">
        <v>45718</v>
      </c>
      <c r="E272" s="21" t="s">
        <v>101</v>
      </c>
      <c r="F272" s="21" t="s">
        <v>170</v>
      </c>
      <c r="G272" s="21" t="s">
        <v>50</v>
      </c>
      <c r="H272" s="2">
        <v>4</v>
      </c>
      <c r="I272" s="2">
        <v>45</v>
      </c>
      <c r="J272" s="2">
        <v>22.5</v>
      </c>
      <c r="K272" s="21" t="s">
        <v>97</v>
      </c>
      <c r="L272" s="21" t="s">
        <v>265</v>
      </c>
      <c r="M272" s="21" t="s">
        <v>101</v>
      </c>
      <c r="N272" s="3"/>
      <c r="O272" s="21" t="s">
        <v>51</v>
      </c>
      <c r="P272" s="21" t="s">
        <v>52</v>
      </c>
      <c r="Q272" s="21" t="s">
        <v>53</v>
      </c>
      <c r="R272" s="2">
        <v>18</v>
      </c>
      <c r="S272" s="2">
        <v>157.5</v>
      </c>
      <c r="T272" s="2">
        <v>85.5</v>
      </c>
      <c r="U272" s="4">
        <v>54.285714285714285</v>
      </c>
      <c r="V272" s="21" t="s">
        <v>471</v>
      </c>
      <c r="W272">
        <v>1</v>
      </c>
      <c r="X272"/>
      <c r="Y272" s="20"/>
    </row>
    <row r="273" spans="1:25" x14ac:dyDescent="0.3">
      <c r="A273" s="20" t="s">
        <v>547</v>
      </c>
      <c r="B273" s="21" t="s">
        <v>14</v>
      </c>
      <c r="C273" s="21" t="s">
        <v>551</v>
      </c>
      <c r="D273" s="3">
        <v>45718</v>
      </c>
      <c r="E273" s="21" t="s">
        <v>10</v>
      </c>
      <c r="F273" s="21" t="s">
        <v>11</v>
      </c>
      <c r="G273" s="21" t="s">
        <v>60</v>
      </c>
      <c r="H273" s="2">
        <v>1</v>
      </c>
      <c r="I273" s="2">
        <v>899</v>
      </c>
      <c r="J273" s="2">
        <v>90</v>
      </c>
      <c r="K273" s="21" t="s">
        <v>97</v>
      </c>
      <c r="L273" s="21" t="s">
        <v>12</v>
      </c>
      <c r="M273" s="21" t="s">
        <v>13</v>
      </c>
      <c r="N273" s="3">
        <v>44744</v>
      </c>
      <c r="O273" s="21" t="s">
        <v>61</v>
      </c>
      <c r="P273" s="21" t="s">
        <v>48</v>
      </c>
      <c r="Q273" s="21" t="s">
        <v>62</v>
      </c>
      <c r="R273" s="2">
        <v>520</v>
      </c>
      <c r="S273" s="2">
        <v>809</v>
      </c>
      <c r="T273" s="2">
        <v>289</v>
      </c>
      <c r="U273" s="4">
        <v>35.723114956736715</v>
      </c>
      <c r="V273" s="21" t="s">
        <v>471</v>
      </c>
      <c r="W273">
        <v>1</v>
      </c>
      <c r="X273">
        <v>32</v>
      </c>
      <c r="Y273" s="20">
        <v>1</v>
      </c>
    </row>
    <row r="274" spans="1:25" x14ac:dyDescent="0.3">
      <c r="A274" s="20" t="s">
        <v>547</v>
      </c>
      <c r="B274" s="21" t="s">
        <v>14</v>
      </c>
      <c r="C274" s="21" t="s">
        <v>552</v>
      </c>
      <c r="D274" s="3">
        <v>45719</v>
      </c>
      <c r="E274" s="21" t="s">
        <v>553</v>
      </c>
      <c r="F274" s="21" t="s">
        <v>554</v>
      </c>
      <c r="G274" s="21" t="s">
        <v>65</v>
      </c>
      <c r="H274" s="2">
        <v>1</v>
      </c>
      <c r="I274" s="2">
        <v>749</v>
      </c>
      <c r="J274" s="2">
        <v>75</v>
      </c>
      <c r="K274" s="21" t="s">
        <v>97</v>
      </c>
      <c r="L274" s="21" t="s">
        <v>20</v>
      </c>
      <c r="M274" s="21" t="s">
        <v>30</v>
      </c>
      <c r="N274" s="3">
        <v>45714</v>
      </c>
      <c r="O274" s="21" t="s">
        <v>66</v>
      </c>
      <c r="P274" s="21" t="s">
        <v>44</v>
      </c>
      <c r="Q274" s="21" t="s">
        <v>67</v>
      </c>
      <c r="R274" s="2">
        <v>490</v>
      </c>
      <c r="S274" s="2">
        <v>674</v>
      </c>
      <c r="T274" s="2">
        <v>184</v>
      </c>
      <c r="U274" s="4">
        <v>27.299703264094955</v>
      </c>
      <c r="V274" s="21" t="s">
        <v>471</v>
      </c>
      <c r="W274">
        <v>1</v>
      </c>
      <c r="X274">
        <v>7</v>
      </c>
      <c r="Y274" s="20">
        <v>1</v>
      </c>
    </row>
    <row r="275" spans="1:25" x14ac:dyDescent="0.3">
      <c r="A275" s="20" t="s">
        <v>547</v>
      </c>
      <c r="B275" s="21" t="s">
        <v>14</v>
      </c>
      <c r="C275" s="21" t="s">
        <v>555</v>
      </c>
      <c r="D275" s="3">
        <v>45719</v>
      </c>
      <c r="E275" s="21" t="s">
        <v>5</v>
      </c>
      <c r="F275" s="21" t="s">
        <v>6</v>
      </c>
      <c r="G275" s="21" t="s">
        <v>57</v>
      </c>
      <c r="H275" s="2">
        <v>1</v>
      </c>
      <c r="I275" s="2">
        <v>529</v>
      </c>
      <c r="J275" s="2">
        <v>52.9</v>
      </c>
      <c r="K275" s="21" t="s">
        <v>97</v>
      </c>
      <c r="L275" s="21" t="s">
        <v>7</v>
      </c>
      <c r="M275" s="21" t="s">
        <v>8</v>
      </c>
      <c r="N275" s="3">
        <v>44635</v>
      </c>
      <c r="O275" s="21" t="s">
        <v>58</v>
      </c>
      <c r="P275" s="21" t="s">
        <v>44</v>
      </c>
      <c r="Q275" s="21" t="s">
        <v>59</v>
      </c>
      <c r="R275" s="2">
        <v>260</v>
      </c>
      <c r="S275" s="2">
        <v>476.1</v>
      </c>
      <c r="T275" s="2">
        <v>216.10000000000002</v>
      </c>
      <c r="U275" s="4">
        <v>45.389624028565429</v>
      </c>
      <c r="V275" s="21" t="s">
        <v>471</v>
      </c>
      <c r="W275">
        <v>1</v>
      </c>
      <c r="X275">
        <v>52</v>
      </c>
      <c r="Y275" s="20">
        <v>1</v>
      </c>
    </row>
    <row r="276" spans="1:25" x14ac:dyDescent="0.3">
      <c r="A276" s="20" t="s">
        <v>547</v>
      </c>
      <c r="B276" s="21" t="s">
        <v>14</v>
      </c>
      <c r="C276" s="21" t="s">
        <v>556</v>
      </c>
      <c r="D276" s="3">
        <v>45720</v>
      </c>
      <c r="E276" s="21" t="s">
        <v>101</v>
      </c>
      <c r="F276" s="21" t="s">
        <v>170</v>
      </c>
      <c r="G276" s="21" t="s">
        <v>63</v>
      </c>
      <c r="H276" s="2">
        <v>3</v>
      </c>
      <c r="I276" s="2">
        <v>29</v>
      </c>
      <c r="J276" s="2">
        <v>0</v>
      </c>
      <c r="K276" s="21" t="s">
        <v>97</v>
      </c>
      <c r="L276" s="21" t="s">
        <v>265</v>
      </c>
      <c r="M276" s="21" t="s">
        <v>101</v>
      </c>
      <c r="N276" s="3"/>
      <c r="O276" s="21" t="s">
        <v>64</v>
      </c>
      <c r="P276" s="21" t="s">
        <v>52</v>
      </c>
      <c r="Q276" s="21" t="s">
        <v>62</v>
      </c>
      <c r="R276" s="2">
        <v>11</v>
      </c>
      <c r="S276" s="2">
        <v>87</v>
      </c>
      <c r="T276" s="2">
        <v>54</v>
      </c>
      <c r="U276" s="4">
        <v>62.068965517241381</v>
      </c>
      <c r="V276" s="21" t="s">
        <v>471</v>
      </c>
      <c r="W276">
        <v>1</v>
      </c>
      <c r="X276"/>
      <c r="Y276" s="20"/>
    </row>
    <row r="277" spans="1:25" x14ac:dyDescent="0.3">
      <c r="A277" s="20" t="s">
        <v>547</v>
      </c>
      <c r="B277" s="21" t="s">
        <v>14</v>
      </c>
      <c r="C277" s="21" t="s">
        <v>557</v>
      </c>
      <c r="D277" s="3">
        <v>45720</v>
      </c>
      <c r="E277" s="21" t="s">
        <v>25</v>
      </c>
      <c r="F277" s="21" t="s">
        <v>26</v>
      </c>
      <c r="G277" s="21" t="s">
        <v>46</v>
      </c>
      <c r="H277" s="2">
        <v>2</v>
      </c>
      <c r="I277" s="2">
        <v>199</v>
      </c>
      <c r="J277" s="2">
        <v>20</v>
      </c>
      <c r="K277" s="21" t="s">
        <v>97</v>
      </c>
      <c r="L277" s="21" t="s">
        <v>27</v>
      </c>
      <c r="M277" s="21" t="s">
        <v>13</v>
      </c>
      <c r="N277" s="3">
        <v>45168</v>
      </c>
      <c r="O277" s="21" t="s">
        <v>47</v>
      </c>
      <c r="P277" s="21" t="s">
        <v>48</v>
      </c>
      <c r="Q277" s="21" t="s">
        <v>49</v>
      </c>
      <c r="R277" s="2">
        <v>95</v>
      </c>
      <c r="S277" s="2">
        <v>378</v>
      </c>
      <c r="T277" s="2">
        <v>188</v>
      </c>
      <c r="U277" s="4">
        <v>49.735449735449734</v>
      </c>
      <c r="V277" s="21" t="s">
        <v>471</v>
      </c>
      <c r="W277">
        <v>1</v>
      </c>
      <c r="X277">
        <v>46</v>
      </c>
      <c r="Y277" s="20">
        <v>1</v>
      </c>
    </row>
    <row r="278" spans="1:25" x14ac:dyDescent="0.3">
      <c r="A278" s="20" t="s">
        <v>547</v>
      </c>
      <c r="B278" s="21" t="s">
        <v>14</v>
      </c>
      <c r="C278" s="21" t="s">
        <v>558</v>
      </c>
      <c r="D278" s="3">
        <v>45721</v>
      </c>
      <c r="E278" s="21" t="s">
        <v>28</v>
      </c>
      <c r="F278" s="21" t="s">
        <v>29</v>
      </c>
      <c r="G278" s="21" t="s">
        <v>84</v>
      </c>
      <c r="H278" s="2">
        <v>1</v>
      </c>
      <c r="I278" s="2">
        <v>2199</v>
      </c>
      <c r="J278" s="2">
        <v>220</v>
      </c>
      <c r="K278" s="21" t="s">
        <v>97</v>
      </c>
      <c r="L278" s="21" t="s">
        <v>7</v>
      </c>
      <c r="M278" s="21" t="s">
        <v>30</v>
      </c>
      <c r="N278" s="3">
        <v>45211</v>
      </c>
      <c r="O278" s="21" t="s">
        <v>85</v>
      </c>
      <c r="P278" s="21" t="s">
        <v>44</v>
      </c>
      <c r="Q278" s="21" t="s">
        <v>56</v>
      </c>
      <c r="R278" s="2">
        <v>1380</v>
      </c>
      <c r="S278" s="2">
        <v>1979</v>
      </c>
      <c r="T278" s="2">
        <v>599</v>
      </c>
      <c r="U278" s="4">
        <v>30.267812026275898</v>
      </c>
      <c r="V278" s="21" t="s">
        <v>471</v>
      </c>
      <c r="W278">
        <v>1</v>
      </c>
      <c r="X278">
        <v>19</v>
      </c>
      <c r="Y278" s="20">
        <v>1</v>
      </c>
    </row>
    <row r="279" spans="1:25" x14ac:dyDescent="0.3">
      <c r="A279" s="20" t="s">
        <v>547</v>
      </c>
      <c r="B279" s="21" t="s">
        <v>14</v>
      </c>
      <c r="C279" s="21" t="s">
        <v>559</v>
      </c>
      <c r="D279" s="3">
        <v>45721</v>
      </c>
      <c r="E279" s="21" t="s">
        <v>553</v>
      </c>
      <c r="F279" s="21" t="s">
        <v>554</v>
      </c>
      <c r="G279" s="21" t="s">
        <v>68</v>
      </c>
      <c r="H279" s="2">
        <v>1</v>
      </c>
      <c r="I279" s="2">
        <v>229</v>
      </c>
      <c r="J279" s="2">
        <v>22.9</v>
      </c>
      <c r="K279" s="21" t="s">
        <v>97</v>
      </c>
      <c r="L279" s="21" t="s">
        <v>20</v>
      </c>
      <c r="M279" s="21" t="s">
        <v>30</v>
      </c>
      <c r="N279" s="3">
        <v>45714</v>
      </c>
      <c r="O279" s="21" t="s">
        <v>69</v>
      </c>
      <c r="P279" s="21" t="s">
        <v>44</v>
      </c>
      <c r="Q279" s="21" t="s">
        <v>70</v>
      </c>
      <c r="R279" s="2">
        <v>110</v>
      </c>
      <c r="S279" s="2">
        <v>206.1</v>
      </c>
      <c r="T279" s="2">
        <v>96.1</v>
      </c>
      <c r="U279" s="4">
        <v>46.62785055798156</v>
      </c>
      <c r="V279" s="21" t="s">
        <v>471</v>
      </c>
      <c r="W279">
        <v>1</v>
      </c>
      <c r="X279">
        <v>7</v>
      </c>
      <c r="Y279" s="20">
        <v>1</v>
      </c>
    </row>
    <row r="280" spans="1:25" x14ac:dyDescent="0.3">
      <c r="A280" s="20" t="s">
        <v>547</v>
      </c>
      <c r="B280" s="21" t="s">
        <v>14</v>
      </c>
      <c r="C280" s="21" t="s">
        <v>560</v>
      </c>
      <c r="D280" s="3">
        <v>45722</v>
      </c>
      <c r="E280" s="21" t="s">
        <v>31</v>
      </c>
      <c r="F280" s="21" t="s">
        <v>32</v>
      </c>
      <c r="G280" s="21" t="s">
        <v>71</v>
      </c>
      <c r="H280" s="2">
        <v>2</v>
      </c>
      <c r="I280" s="2">
        <v>459</v>
      </c>
      <c r="J280" s="2">
        <v>46</v>
      </c>
      <c r="K280" s="21" t="s">
        <v>97</v>
      </c>
      <c r="L280" s="21" t="s">
        <v>20</v>
      </c>
      <c r="M280" s="21" t="s">
        <v>30</v>
      </c>
      <c r="N280" s="3">
        <v>45263</v>
      </c>
      <c r="O280" s="21" t="s">
        <v>72</v>
      </c>
      <c r="P280" s="21" t="s">
        <v>48</v>
      </c>
      <c r="Q280" s="21" t="s">
        <v>49</v>
      </c>
      <c r="R280" s="2">
        <v>210</v>
      </c>
      <c r="S280" s="2">
        <v>872</v>
      </c>
      <c r="T280" s="2">
        <v>452</v>
      </c>
      <c r="U280" s="4">
        <v>51.834862385321102</v>
      </c>
      <c r="V280" s="21" t="s">
        <v>471</v>
      </c>
      <c r="W280">
        <v>1</v>
      </c>
      <c r="X280">
        <v>20</v>
      </c>
      <c r="Y280" s="20">
        <v>1</v>
      </c>
    </row>
    <row r="281" spans="1:25" x14ac:dyDescent="0.3">
      <c r="A281" s="20" t="s">
        <v>547</v>
      </c>
      <c r="B281" s="21" t="s">
        <v>14</v>
      </c>
      <c r="C281" s="21" t="s">
        <v>561</v>
      </c>
      <c r="D281" s="3">
        <v>45722</v>
      </c>
      <c r="E281" s="21" t="s">
        <v>101</v>
      </c>
      <c r="F281" s="21" t="s">
        <v>170</v>
      </c>
      <c r="G281" s="21" t="s">
        <v>73</v>
      </c>
      <c r="H281" s="2">
        <v>5</v>
      </c>
      <c r="I281" s="2">
        <v>19</v>
      </c>
      <c r="J281" s="2">
        <v>0</v>
      </c>
      <c r="K281" s="21" t="s">
        <v>97</v>
      </c>
      <c r="L281" s="21" t="s">
        <v>265</v>
      </c>
      <c r="M281" s="21" t="s">
        <v>101</v>
      </c>
      <c r="N281" s="3"/>
      <c r="O281" s="21" t="s">
        <v>74</v>
      </c>
      <c r="P281" s="21" t="s">
        <v>52</v>
      </c>
      <c r="Q281" s="21" t="s">
        <v>62</v>
      </c>
      <c r="R281" s="2">
        <v>8</v>
      </c>
      <c r="S281" s="2">
        <v>95</v>
      </c>
      <c r="T281" s="2">
        <v>55</v>
      </c>
      <c r="U281" s="4">
        <v>57.894736842105267</v>
      </c>
      <c r="V281" s="21" t="s">
        <v>471</v>
      </c>
      <c r="W281">
        <v>1</v>
      </c>
      <c r="X281"/>
      <c r="Y281" s="20"/>
    </row>
    <row r="282" spans="1:25" x14ac:dyDescent="0.3">
      <c r="A282" s="20" t="s">
        <v>547</v>
      </c>
      <c r="B282" s="21" t="s">
        <v>14</v>
      </c>
      <c r="C282" s="21" t="s">
        <v>562</v>
      </c>
      <c r="D282" s="3">
        <v>45723</v>
      </c>
      <c r="E282" s="21" t="s">
        <v>10</v>
      </c>
      <c r="F282" s="21" t="s">
        <v>11</v>
      </c>
      <c r="G282" s="21" t="s">
        <v>75</v>
      </c>
      <c r="H282" s="2">
        <v>1</v>
      </c>
      <c r="I282" s="2">
        <v>599</v>
      </c>
      <c r="J282" s="2">
        <v>60</v>
      </c>
      <c r="K282" s="21" t="s">
        <v>97</v>
      </c>
      <c r="L282" s="21" t="s">
        <v>12</v>
      </c>
      <c r="M282" s="21" t="s">
        <v>13</v>
      </c>
      <c r="N282" s="3">
        <v>44744</v>
      </c>
      <c r="O282" s="21" t="s">
        <v>76</v>
      </c>
      <c r="P282" s="21" t="s">
        <v>44</v>
      </c>
      <c r="Q282" s="21" t="s">
        <v>59</v>
      </c>
      <c r="R282" s="2">
        <v>350</v>
      </c>
      <c r="S282" s="2">
        <v>539</v>
      </c>
      <c r="T282" s="2">
        <v>189</v>
      </c>
      <c r="U282" s="4">
        <v>35.064935064935064</v>
      </c>
      <c r="V282" s="21" t="s">
        <v>471</v>
      </c>
      <c r="W282">
        <v>1</v>
      </c>
      <c r="X282">
        <v>32</v>
      </c>
      <c r="Y282" s="20">
        <v>1</v>
      </c>
    </row>
    <row r="283" spans="1:25" x14ac:dyDescent="0.3">
      <c r="A283" s="20" t="s">
        <v>547</v>
      </c>
      <c r="B283" s="21" t="s">
        <v>14</v>
      </c>
      <c r="C283" s="21" t="s">
        <v>563</v>
      </c>
      <c r="D283" s="3">
        <v>45723</v>
      </c>
      <c r="E283" s="21" t="s">
        <v>21</v>
      </c>
      <c r="F283" s="21" t="s">
        <v>22</v>
      </c>
      <c r="G283" s="21" t="s">
        <v>79</v>
      </c>
      <c r="H283" s="2">
        <v>1</v>
      </c>
      <c r="I283" s="2">
        <v>189</v>
      </c>
      <c r="J283" s="2">
        <v>19</v>
      </c>
      <c r="K283" s="21" t="s">
        <v>97</v>
      </c>
      <c r="L283" s="21" t="s">
        <v>7</v>
      </c>
      <c r="M283" s="21" t="s">
        <v>8</v>
      </c>
      <c r="N283" s="3">
        <v>44948</v>
      </c>
      <c r="O283" s="21" t="s">
        <v>80</v>
      </c>
      <c r="P283" s="21" t="s">
        <v>44</v>
      </c>
      <c r="Q283" s="21" t="s">
        <v>70</v>
      </c>
      <c r="R283" s="2">
        <v>95</v>
      </c>
      <c r="S283" s="2">
        <v>170</v>
      </c>
      <c r="T283" s="2">
        <v>75</v>
      </c>
      <c r="U283" s="4">
        <v>44.117647058823529</v>
      </c>
      <c r="V283" s="21" t="s">
        <v>471</v>
      </c>
      <c r="W283">
        <v>1</v>
      </c>
      <c r="X283">
        <v>32</v>
      </c>
      <c r="Y283" s="20">
        <v>1</v>
      </c>
    </row>
    <row r="284" spans="1:25" x14ac:dyDescent="0.3">
      <c r="A284" s="20" t="s">
        <v>547</v>
      </c>
      <c r="B284" s="21" t="s">
        <v>14</v>
      </c>
      <c r="C284" s="21" t="s">
        <v>564</v>
      </c>
      <c r="D284" s="3">
        <v>45724</v>
      </c>
      <c r="E284" s="21" t="s">
        <v>101</v>
      </c>
      <c r="F284" s="21" t="s">
        <v>170</v>
      </c>
      <c r="G284" s="21" t="s">
        <v>77</v>
      </c>
      <c r="H284" s="2">
        <v>1</v>
      </c>
      <c r="I284" s="2">
        <v>1099</v>
      </c>
      <c r="J284" s="2">
        <v>110</v>
      </c>
      <c r="K284" s="21" t="s">
        <v>97</v>
      </c>
      <c r="L284" s="21" t="s">
        <v>265</v>
      </c>
      <c r="M284" s="21" t="s">
        <v>101</v>
      </c>
      <c r="N284" s="3"/>
      <c r="O284" s="21" t="s">
        <v>78</v>
      </c>
      <c r="P284" s="21" t="s">
        <v>48</v>
      </c>
      <c r="Q284" s="21" t="s">
        <v>62</v>
      </c>
      <c r="R284" s="2">
        <v>650</v>
      </c>
      <c r="S284" s="2">
        <v>989</v>
      </c>
      <c r="T284" s="2">
        <v>339</v>
      </c>
      <c r="U284" s="4">
        <v>34.277047522750252</v>
      </c>
      <c r="V284" s="21" t="s">
        <v>471</v>
      </c>
      <c r="W284">
        <v>1</v>
      </c>
      <c r="X284"/>
      <c r="Y284" s="20"/>
    </row>
    <row r="285" spans="1:25" x14ac:dyDescent="0.3">
      <c r="A285" s="20" t="s">
        <v>547</v>
      </c>
      <c r="B285" s="21" t="s">
        <v>14</v>
      </c>
      <c r="C285" s="21" t="s">
        <v>565</v>
      </c>
      <c r="D285" s="3">
        <v>45724</v>
      </c>
      <c r="E285" s="21" t="s">
        <v>553</v>
      </c>
      <c r="F285" s="21" t="s">
        <v>554</v>
      </c>
      <c r="G285" s="21" t="s">
        <v>81</v>
      </c>
      <c r="H285" s="2">
        <v>2</v>
      </c>
      <c r="I285" s="2">
        <v>89</v>
      </c>
      <c r="J285" s="2">
        <v>0</v>
      </c>
      <c r="K285" s="21" t="s">
        <v>97</v>
      </c>
      <c r="L285" s="21" t="s">
        <v>20</v>
      </c>
      <c r="M285" s="21" t="s">
        <v>30</v>
      </c>
      <c r="N285" s="3">
        <v>45714</v>
      </c>
      <c r="O285" s="21" t="s">
        <v>82</v>
      </c>
      <c r="P285" s="21" t="s">
        <v>52</v>
      </c>
      <c r="Q285" s="21" t="s">
        <v>83</v>
      </c>
      <c r="R285" s="2">
        <v>42</v>
      </c>
      <c r="S285" s="2">
        <v>178</v>
      </c>
      <c r="T285" s="2">
        <v>94</v>
      </c>
      <c r="U285" s="4">
        <v>52.80898876404494</v>
      </c>
      <c r="V285" s="21" t="s">
        <v>471</v>
      </c>
      <c r="W285">
        <v>1</v>
      </c>
      <c r="X285">
        <v>7</v>
      </c>
      <c r="Y285" s="20">
        <v>1</v>
      </c>
    </row>
    <row r="286" spans="1:25" x14ac:dyDescent="0.3">
      <c r="A286" s="20" t="s">
        <v>547</v>
      </c>
      <c r="B286" s="21" t="s">
        <v>14</v>
      </c>
      <c r="C286" s="21" t="s">
        <v>566</v>
      </c>
      <c r="D286" s="3">
        <v>45725</v>
      </c>
      <c r="E286" s="21" t="s">
        <v>28</v>
      </c>
      <c r="F286" s="21" t="s">
        <v>29</v>
      </c>
      <c r="G286" s="21" t="s">
        <v>54</v>
      </c>
      <c r="H286" s="2">
        <v>1</v>
      </c>
      <c r="I286" s="2">
        <v>1299</v>
      </c>
      <c r="J286" s="2">
        <v>0</v>
      </c>
      <c r="K286" s="21" t="s">
        <v>97</v>
      </c>
      <c r="L286" s="21" t="s">
        <v>7</v>
      </c>
      <c r="M286" s="21" t="s">
        <v>30</v>
      </c>
      <c r="N286" s="3">
        <v>45211</v>
      </c>
      <c r="O286" s="21" t="s">
        <v>55</v>
      </c>
      <c r="P286" s="21" t="s">
        <v>44</v>
      </c>
      <c r="Q286" s="21" t="s">
        <v>56</v>
      </c>
      <c r="R286" s="2">
        <v>820</v>
      </c>
      <c r="S286" s="2">
        <v>1299</v>
      </c>
      <c r="T286" s="2">
        <v>479</v>
      </c>
      <c r="U286" s="4">
        <v>36.87451886066205</v>
      </c>
      <c r="V286" s="21" t="s">
        <v>471</v>
      </c>
      <c r="W286">
        <v>1</v>
      </c>
      <c r="X286">
        <v>19</v>
      </c>
      <c r="Y286" s="20">
        <v>1</v>
      </c>
    </row>
    <row r="287" spans="1:25" x14ac:dyDescent="0.3">
      <c r="A287" s="20" t="s">
        <v>547</v>
      </c>
      <c r="B287" s="21" t="s">
        <v>14</v>
      </c>
      <c r="C287" s="21" t="s">
        <v>567</v>
      </c>
      <c r="D287" s="3">
        <v>45725</v>
      </c>
      <c r="E287" s="21" t="s">
        <v>5</v>
      </c>
      <c r="F287" s="21" t="s">
        <v>6</v>
      </c>
      <c r="G287" s="21" t="s">
        <v>42</v>
      </c>
      <c r="H287" s="2">
        <v>1</v>
      </c>
      <c r="I287" s="2">
        <v>349</v>
      </c>
      <c r="J287" s="2">
        <v>34.9</v>
      </c>
      <c r="K287" s="21" t="s">
        <v>97</v>
      </c>
      <c r="L287" s="21" t="s">
        <v>7</v>
      </c>
      <c r="M287" s="21" t="s">
        <v>8</v>
      </c>
      <c r="N287" s="3">
        <v>44635</v>
      </c>
      <c r="O287" s="21" t="s">
        <v>43</v>
      </c>
      <c r="P287" s="21" t="s">
        <v>44</v>
      </c>
      <c r="Q287" s="21" t="s">
        <v>45</v>
      </c>
      <c r="R287" s="2">
        <v>165</v>
      </c>
      <c r="S287" s="2">
        <v>314.10000000000002</v>
      </c>
      <c r="T287" s="2">
        <v>149.10000000000002</v>
      </c>
      <c r="U287" s="4">
        <v>47.468958930276983</v>
      </c>
      <c r="V287" s="21" t="s">
        <v>471</v>
      </c>
      <c r="W287">
        <v>1</v>
      </c>
      <c r="X287">
        <v>52</v>
      </c>
      <c r="Y287" s="20">
        <v>1</v>
      </c>
    </row>
    <row r="288" spans="1:25" x14ac:dyDescent="0.3">
      <c r="A288" s="20" t="s">
        <v>547</v>
      </c>
      <c r="B288" s="21" t="s">
        <v>14</v>
      </c>
      <c r="C288" s="21" t="s">
        <v>568</v>
      </c>
      <c r="D288" s="3">
        <v>45726</v>
      </c>
      <c r="E288" s="21" t="s">
        <v>101</v>
      </c>
      <c r="F288" s="21" t="s">
        <v>170</v>
      </c>
      <c r="G288" s="21" t="s">
        <v>50</v>
      </c>
      <c r="H288" s="2">
        <v>3</v>
      </c>
      <c r="I288" s="2">
        <v>45</v>
      </c>
      <c r="J288" s="2">
        <v>0</v>
      </c>
      <c r="K288" s="21" t="s">
        <v>97</v>
      </c>
      <c r="L288" s="21" t="s">
        <v>265</v>
      </c>
      <c r="M288" s="21" t="s">
        <v>101</v>
      </c>
      <c r="N288" s="3"/>
      <c r="O288" s="21" t="s">
        <v>51</v>
      </c>
      <c r="P288" s="21" t="s">
        <v>52</v>
      </c>
      <c r="Q288" s="21" t="s">
        <v>53</v>
      </c>
      <c r="R288" s="2">
        <v>18</v>
      </c>
      <c r="S288" s="2">
        <v>135</v>
      </c>
      <c r="T288" s="2">
        <v>81</v>
      </c>
      <c r="U288" s="4">
        <v>60</v>
      </c>
      <c r="V288" s="21" t="s">
        <v>471</v>
      </c>
      <c r="W288">
        <v>1</v>
      </c>
      <c r="X288"/>
      <c r="Y288" s="20"/>
    </row>
    <row r="289" spans="1:25" x14ac:dyDescent="0.3">
      <c r="A289" s="20" t="s">
        <v>547</v>
      </c>
      <c r="B289" s="21" t="s">
        <v>14</v>
      </c>
      <c r="C289" s="21" t="s">
        <v>569</v>
      </c>
      <c r="D289" s="3">
        <v>45726</v>
      </c>
      <c r="E289" s="21" t="s">
        <v>31</v>
      </c>
      <c r="F289" s="21" t="s">
        <v>32</v>
      </c>
      <c r="G289" s="21" t="s">
        <v>60</v>
      </c>
      <c r="H289" s="2">
        <v>2</v>
      </c>
      <c r="I289" s="2">
        <v>899</v>
      </c>
      <c r="J289" s="2">
        <v>90</v>
      </c>
      <c r="K289" s="21" t="s">
        <v>97</v>
      </c>
      <c r="L289" s="21" t="s">
        <v>20</v>
      </c>
      <c r="M289" s="21" t="s">
        <v>30</v>
      </c>
      <c r="N289" s="3">
        <v>45263</v>
      </c>
      <c r="O289" s="21" t="s">
        <v>61</v>
      </c>
      <c r="P289" s="21" t="s">
        <v>48</v>
      </c>
      <c r="Q289" s="21" t="s">
        <v>62</v>
      </c>
      <c r="R289" s="2">
        <v>520</v>
      </c>
      <c r="S289" s="2">
        <v>1708</v>
      </c>
      <c r="T289" s="2">
        <v>668</v>
      </c>
      <c r="U289" s="4">
        <v>39.110070257611241</v>
      </c>
      <c r="V289" s="21" t="s">
        <v>471</v>
      </c>
      <c r="W289">
        <v>1</v>
      </c>
      <c r="X289">
        <v>20</v>
      </c>
      <c r="Y289" s="20">
        <v>1</v>
      </c>
    </row>
    <row r="290" spans="1:25" x14ac:dyDescent="0.3">
      <c r="A290" s="20" t="s">
        <v>547</v>
      </c>
      <c r="B290" s="21" t="s">
        <v>14</v>
      </c>
      <c r="C290" s="21" t="s">
        <v>570</v>
      </c>
      <c r="D290" s="3">
        <v>45727</v>
      </c>
      <c r="E290" s="21" t="s">
        <v>25</v>
      </c>
      <c r="F290" s="21" t="s">
        <v>26</v>
      </c>
      <c r="G290" s="21" t="s">
        <v>65</v>
      </c>
      <c r="H290" s="2">
        <v>1</v>
      </c>
      <c r="I290" s="2">
        <v>749</v>
      </c>
      <c r="J290" s="2">
        <v>75</v>
      </c>
      <c r="K290" s="21" t="s">
        <v>97</v>
      </c>
      <c r="L290" s="21" t="s">
        <v>27</v>
      </c>
      <c r="M290" s="21" t="s">
        <v>13</v>
      </c>
      <c r="N290" s="3">
        <v>45168</v>
      </c>
      <c r="O290" s="21" t="s">
        <v>66</v>
      </c>
      <c r="P290" s="21" t="s">
        <v>44</v>
      </c>
      <c r="Q290" s="21" t="s">
        <v>67</v>
      </c>
      <c r="R290" s="2">
        <v>490</v>
      </c>
      <c r="S290" s="2">
        <v>674</v>
      </c>
      <c r="T290" s="2">
        <v>184</v>
      </c>
      <c r="U290" s="4">
        <v>27.299703264094955</v>
      </c>
      <c r="V290" s="21" t="s">
        <v>471</v>
      </c>
      <c r="W290">
        <v>1</v>
      </c>
      <c r="X290">
        <v>46</v>
      </c>
      <c r="Y290" s="20">
        <v>1</v>
      </c>
    </row>
    <row r="291" spans="1:25" x14ac:dyDescent="0.3">
      <c r="A291" s="20" t="s">
        <v>547</v>
      </c>
      <c r="B291" s="21" t="s">
        <v>14</v>
      </c>
      <c r="C291" s="21" t="s">
        <v>571</v>
      </c>
      <c r="D291" s="3">
        <v>45727</v>
      </c>
      <c r="E291" s="21" t="s">
        <v>553</v>
      </c>
      <c r="F291" s="21" t="s">
        <v>554</v>
      </c>
      <c r="G291" s="21" t="s">
        <v>57</v>
      </c>
      <c r="H291" s="2">
        <v>1</v>
      </c>
      <c r="I291" s="2">
        <v>529</v>
      </c>
      <c r="J291" s="2">
        <v>52.9</v>
      </c>
      <c r="K291" s="21" t="s">
        <v>97</v>
      </c>
      <c r="L291" s="21" t="s">
        <v>20</v>
      </c>
      <c r="M291" s="21" t="s">
        <v>30</v>
      </c>
      <c r="N291" s="3">
        <v>45714</v>
      </c>
      <c r="O291" s="21" t="s">
        <v>58</v>
      </c>
      <c r="P291" s="21" t="s">
        <v>44</v>
      </c>
      <c r="Q291" s="21" t="s">
        <v>59</v>
      </c>
      <c r="R291" s="2">
        <v>260</v>
      </c>
      <c r="S291" s="2">
        <v>476.1</v>
      </c>
      <c r="T291" s="2">
        <v>216.10000000000002</v>
      </c>
      <c r="U291" s="4">
        <v>45.389624028565429</v>
      </c>
      <c r="V291" s="21" t="s">
        <v>471</v>
      </c>
      <c r="W291">
        <v>1</v>
      </c>
      <c r="X291">
        <v>7</v>
      </c>
      <c r="Y291" s="20">
        <v>1</v>
      </c>
    </row>
    <row r="292" spans="1:25" x14ac:dyDescent="0.3">
      <c r="A292" s="20" t="s">
        <v>547</v>
      </c>
      <c r="B292" s="21" t="s">
        <v>14</v>
      </c>
      <c r="C292" s="21" t="s">
        <v>572</v>
      </c>
      <c r="D292" s="3">
        <v>45728</v>
      </c>
      <c r="E292" s="21" t="s">
        <v>10</v>
      </c>
      <c r="F292" s="21" t="s">
        <v>11</v>
      </c>
      <c r="G292" s="21" t="s">
        <v>46</v>
      </c>
      <c r="H292" s="2">
        <v>3</v>
      </c>
      <c r="I292" s="2">
        <v>199</v>
      </c>
      <c r="J292" s="2">
        <v>30</v>
      </c>
      <c r="K292" s="21" t="s">
        <v>97</v>
      </c>
      <c r="L292" s="21" t="s">
        <v>12</v>
      </c>
      <c r="M292" s="21" t="s">
        <v>13</v>
      </c>
      <c r="N292" s="3">
        <v>44744</v>
      </c>
      <c r="O292" s="21" t="s">
        <v>47</v>
      </c>
      <c r="P292" s="21" t="s">
        <v>48</v>
      </c>
      <c r="Q292" s="21" t="s">
        <v>49</v>
      </c>
      <c r="R292" s="2">
        <v>95</v>
      </c>
      <c r="S292" s="2">
        <v>567</v>
      </c>
      <c r="T292" s="2">
        <v>282</v>
      </c>
      <c r="U292" s="4">
        <v>49.735449735449734</v>
      </c>
      <c r="V292" s="21" t="s">
        <v>471</v>
      </c>
      <c r="W292">
        <v>1</v>
      </c>
      <c r="X292">
        <v>32</v>
      </c>
      <c r="Y292" s="20">
        <v>1</v>
      </c>
    </row>
    <row r="293" spans="1:25" x14ac:dyDescent="0.3">
      <c r="A293" s="20" t="s">
        <v>547</v>
      </c>
      <c r="B293" s="21" t="s">
        <v>14</v>
      </c>
      <c r="C293" s="21" t="s">
        <v>573</v>
      </c>
      <c r="D293" s="3">
        <v>45728</v>
      </c>
      <c r="E293" s="21" t="s">
        <v>101</v>
      </c>
      <c r="F293" s="21" t="s">
        <v>170</v>
      </c>
      <c r="G293" s="21" t="s">
        <v>63</v>
      </c>
      <c r="H293" s="2">
        <v>2</v>
      </c>
      <c r="I293" s="2">
        <v>29</v>
      </c>
      <c r="J293" s="2">
        <v>0</v>
      </c>
      <c r="K293" s="21" t="s">
        <v>97</v>
      </c>
      <c r="L293" s="21" t="s">
        <v>265</v>
      </c>
      <c r="M293" s="21" t="s">
        <v>101</v>
      </c>
      <c r="N293" s="3"/>
      <c r="O293" s="21" t="s">
        <v>64</v>
      </c>
      <c r="P293" s="21" t="s">
        <v>52</v>
      </c>
      <c r="Q293" s="21" t="s">
        <v>62</v>
      </c>
      <c r="R293" s="2">
        <v>11</v>
      </c>
      <c r="S293" s="2">
        <v>58</v>
      </c>
      <c r="T293" s="2">
        <v>36</v>
      </c>
      <c r="U293" s="4">
        <v>62.068965517241381</v>
      </c>
      <c r="V293" s="21" t="s">
        <v>471</v>
      </c>
      <c r="W293">
        <v>1</v>
      </c>
      <c r="X293"/>
      <c r="Y293" s="20"/>
    </row>
    <row r="294" spans="1:25" x14ac:dyDescent="0.3">
      <c r="A294" s="20" t="s">
        <v>547</v>
      </c>
      <c r="B294" s="21" t="s">
        <v>14</v>
      </c>
      <c r="C294" s="21" t="s">
        <v>574</v>
      </c>
      <c r="D294" s="3">
        <v>45729</v>
      </c>
      <c r="E294" s="21" t="s">
        <v>28</v>
      </c>
      <c r="F294" s="21" t="s">
        <v>29</v>
      </c>
      <c r="G294" s="21" t="s">
        <v>75</v>
      </c>
      <c r="H294" s="2">
        <v>1</v>
      </c>
      <c r="I294" s="2">
        <v>599</v>
      </c>
      <c r="J294" s="2">
        <v>59.9</v>
      </c>
      <c r="K294" s="21" t="s">
        <v>97</v>
      </c>
      <c r="L294" s="21" t="s">
        <v>7</v>
      </c>
      <c r="M294" s="21" t="s">
        <v>30</v>
      </c>
      <c r="N294" s="3">
        <v>45211</v>
      </c>
      <c r="O294" s="21" t="s">
        <v>76</v>
      </c>
      <c r="P294" s="21" t="s">
        <v>44</v>
      </c>
      <c r="Q294" s="21" t="s">
        <v>59</v>
      </c>
      <c r="R294" s="2">
        <v>350</v>
      </c>
      <c r="S294" s="2">
        <v>539.1</v>
      </c>
      <c r="T294" s="2">
        <v>189.10000000000002</v>
      </c>
      <c r="U294" s="4">
        <v>35.076980152105364</v>
      </c>
      <c r="V294" s="21" t="s">
        <v>471</v>
      </c>
      <c r="W294">
        <v>1</v>
      </c>
      <c r="X294">
        <v>19</v>
      </c>
      <c r="Y294" s="20">
        <v>1</v>
      </c>
    </row>
    <row r="295" spans="1:25" x14ac:dyDescent="0.3">
      <c r="A295" s="20" t="s">
        <v>547</v>
      </c>
      <c r="B295" s="21" t="s">
        <v>14</v>
      </c>
      <c r="C295" s="21" t="s">
        <v>575</v>
      </c>
      <c r="D295" s="3">
        <v>45729</v>
      </c>
      <c r="E295" s="21" t="s">
        <v>5</v>
      </c>
      <c r="F295" s="21" t="s">
        <v>6</v>
      </c>
      <c r="G295" s="21" t="s">
        <v>68</v>
      </c>
      <c r="H295" s="2">
        <v>2</v>
      </c>
      <c r="I295" s="2">
        <v>229</v>
      </c>
      <c r="J295" s="2">
        <v>0</v>
      </c>
      <c r="K295" s="21" t="s">
        <v>97</v>
      </c>
      <c r="L295" s="21" t="s">
        <v>7</v>
      </c>
      <c r="M295" s="21" t="s">
        <v>8</v>
      </c>
      <c r="N295" s="3">
        <v>44635</v>
      </c>
      <c r="O295" s="21" t="s">
        <v>69</v>
      </c>
      <c r="P295" s="21" t="s">
        <v>44</v>
      </c>
      <c r="Q295" s="21" t="s">
        <v>70</v>
      </c>
      <c r="R295" s="2">
        <v>110</v>
      </c>
      <c r="S295" s="2">
        <v>458</v>
      </c>
      <c r="T295" s="2">
        <v>238</v>
      </c>
      <c r="U295" s="4">
        <v>51.965065502183407</v>
      </c>
      <c r="V295" s="21" t="s">
        <v>471</v>
      </c>
      <c r="W295">
        <v>1</v>
      </c>
      <c r="X295">
        <v>52</v>
      </c>
      <c r="Y295" s="20">
        <v>1</v>
      </c>
    </row>
    <row r="296" spans="1:25" x14ac:dyDescent="0.3">
      <c r="A296" s="20" t="s">
        <v>547</v>
      </c>
      <c r="B296" s="21" t="s">
        <v>14</v>
      </c>
      <c r="C296" s="21" t="s">
        <v>576</v>
      </c>
      <c r="D296" s="3">
        <v>45730</v>
      </c>
      <c r="E296" s="21" t="s">
        <v>101</v>
      </c>
      <c r="F296" s="21" t="s">
        <v>170</v>
      </c>
      <c r="G296" s="21" t="s">
        <v>71</v>
      </c>
      <c r="H296" s="2">
        <v>1</v>
      </c>
      <c r="I296" s="2">
        <v>459</v>
      </c>
      <c r="J296" s="2">
        <v>46</v>
      </c>
      <c r="K296" s="21" t="s">
        <v>97</v>
      </c>
      <c r="L296" s="21" t="s">
        <v>265</v>
      </c>
      <c r="M296" s="21" t="s">
        <v>101</v>
      </c>
      <c r="N296" s="3"/>
      <c r="O296" s="21" t="s">
        <v>72</v>
      </c>
      <c r="P296" s="21" t="s">
        <v>48</v>
      </c>
      <c r="Q296" s="21" t="s">
        <v>49</v>
      </c>
      <c r="R296" s="2">
        <v>210</v>
      </c>
      <c r="S296" s="2">
        <v>413</v>
      </c>
      <c r="T296" s="2">
        <v>203</v>
      </c>
      <c r="U296" s="4">
        <v>49.152542372881356</v>
      </c>
      <c r="V296" s="21" t="s">
        <v>471</v>
      </c>
      <c r="W296">
        <v>1</v>
      </c>
      <c r="X296"/>
      <c r="Y296" s="20"/>
    </row>
    <row r="297" spans="1:25" x14ac:dyDescent="0.3">
      <c r="A297" s="20" t="s">
        <v>547</v>
      </c>
      <c r="B297" s="21" t="s">
        <v>14</v>
      </c>
      <c r="C297" s="21" t="s">
        <v>577</v>
      </c>
      <c r="D297" s="3">
        <v>45730</v>
      </c>
      <c r="E297" s="21" t="s">
        <v>31</v>
      </c>
      <c r="F297" s="21" t="s">
        <v>32</v>
      </c>
      <c r="G297" s="21" t="s">
        <v>73</v>
      </c>
      <c r="H297" s="2">
        <v>4</v>
      </c>
      <c r="I297" s="2">
        <v>19</v>
      </c>
      <c r="J297" s="2">
        <v>0</v>
      </c>
      <c r="K297" s="21" t="s">
        <v>97</v>
      </c>
      <c r="L297" s="21" t="s">
        <v>20</v>
      </c>
      <c r="M297" s="21" t="s">
        <v>30</v>
      </c>
      <c r="N297" s="3">
        <v>45263</v>
      </c>
      <c r="O297" s="21" t="s">
        <v>74</v>
      </c>
      <c r="P297" s="21" t="s">
        <v>52</v>
      </c>
      <c r="Q297" s="21" t="s">
        <v>62</v>
      </c>
      <c r="R297" s="2">
        <v>8</v>
      </c>
      <c r="S297" s="2">
        <v>76</v>
      </c>
      <c r="T297" s="2">
        <v>44</v>
      </c>
      <c r="U297" s="4">
        <v>57.894736842105267</v>
      </c>
      <c r="V297" s="21" t="s">
        <v>471</v>
      </c>
      <c r="W297">
        <v>1</v>
      </c>
      <c r="X297">
        <v>20</v>
      </c>
      <c r="Y297" s="20">
        <v>1</v>
      </c>
    </row>
    <row r="298" spans="1:25" x14ac:dyDescent="0.3">
      <c r="A298" s="20" t="s">
        <v>547</v>
      </c>
      <c r="B298" s="21" t="s">
        <v>14</v>
      </c>
      <c r="C298" s="21" t="s">
        <v>578</v>
      </c>
      <c r="D298" s="3">
        <v>45731</v>
      </c>
      <c r="E298" s="21" t="s">
        <v>21</v>
      </c>
      <c r="F298" s="21" t="s">
        <v>22</v>
      </c>
      <c r="G298" s="21" t="s">
        <v>79</v>
      </c>
      <c r="H298" s="2">
        <v>2</v>
      </c>
      <c r="I298" s="2">
        <v>189</v>
      </c>
      <c r="J298" s="2">
        <v>19</v>
      </c>
      <c r="K298" s="21" t="s">
        <v>97</v>
      </c>
      <c r="L298" s="21" t="s">
        <v>7</v>
      </c>
      <c r="M298" s="21" t="s">
        <v>8</v>
      </c>
      <c r="N298" s="3">
        <v>44948</v>
      </c>
      <c r="O298" s="21" t="s">
        <v>80</v>
      </c>
      <c r="P298" s="21" t="s">
        <v>44</v>
      </c>
      <c r="Q298" s="21" t="s">
        <v>70</v>
      </c>
      <c r="R298" s="2">
        <v>95</v>
      </c>
      <c r="S298" s="2">
        <v>359</v>
      </c>
      <c r="T298" s="2">
        <v>169</v>
      </c>
      <c r="U298" s="4">
        <v>47.075208913649021</v>
      </c>
      <c r="V298" s="21" t="s">
        <v>471</v>
      </c>
      <c r="W298">
        <v>1</v>
      </c>
      <c r="X298">
        <v>32</v>
      </c>
      <c r="Y298" s="20">
        <v>1</v>
      </c>
    </row>
    <row r="299" spans="1:25" x14ac:dyDescent="0.3">
      <c r="A299" s="20" t="s">
        <v>547</v>
      </c>
      <c r="B299" s="21" t="s">
        <v>14</v>
      </c>
      <c r="C299" s="21" t="s">
        <v>579</v>
      </c>
      <c r="D299" s="3">
        <v>45732</v>
      </c>
      <c r="E299" s="21" t="s">
        <v>101</v>
      </c>
      <c r="F299" s="21" t="s">
        <v>170</v>
      </c>
      <c r="G299" s="21" t="s">
        <v>77</v>
      </c>
      <c r="H299" s="2">
        <v>1</v>
      </c>
      <c r="I299" s="2">
        <v>1099</v>
      </c>
      <c r="J299" s="2">
        <v>110</v>
      </c>
      <c r="K299" s="21" t="s">
        <v>97</v>
      </c>
      <c r="L299" s="21" t="s">
        <v>265</v>
      </c>
      <c r="M299" s="21" t="s">
        <v>101</v>
      </c>
      <c r="N299" s="3"/>
      <c r="O299" s="21" t="s">
        <v>78</v>
      </c>
      <c r="P299" s="21" t="s">
        <v>48</v>
      </c>
      <c r="Q299" s="21" t="s">
        <v>62</v>
      </c>
      <c r="R299" s="2">
        <v>650</v>
      </c>
      <c r="S299" s="2">
        <v>989</v>
      </c>
      <c r="T299" s="2">
        <v>339</v>
      </c>
      <c r="U299" s="4">
        <v>34.277047522750252</v>
      </c>
      <c r="V299" s="21" t="s">
        <v>471</v>
      </c>
      <c r="W299">
        <v>1</v>
      </c>
      <c r="X299"/>
      <c r="Y299" s="20"/>
    </row>
    <row r="300" spans="1:25" x14ac:dyDescent="0.3">
      <c r="A300" s="20" t="s">
        <v>547</v>
      </c>
      <c r="B300" s="21" t="s">
        <v>14</v>
      </c>
      <c r="C300" s="21" t="s">
        <v>580</v>
      </c>
      <c r="D300" s="3">
        <v>45732</v>
      </c>
      <c r="E300" s="21" t="s">
        <v>25</v>
      </c>
      <c r="F300" s="21" t="s">
        <v>26</v>
      </c>
      <c r="G300" s="21" t="s">
        <v>81</v>
      </c>
      <c r="H300" s="2">
        <v>1</v>
      </c>
      <c r="I300" s="2">
        <v>89</v>
      </c>
      <c r="J300" s="2">
        <v>0</v>
      </c>
      <c r="K300" s="21" t="s">
        <v>97</v>
      </c>
      <c r="L300" s="21" t="s">
        <v>27</v>
      </c>
      <c r="M300" s="21" t="s">
        <v>13</v>
      </c>
      <c r="N300" s="3">
        <v>45168</v>
      </c>
      <c r="O300" s="21" t="s">
        <v>82</v>
      </c>
      <c r="P300" s="21" t="s">
        <v>52</v>
      </c>
      <c r="Q300" s="21" t="s">
        <v>83</v>
      </c>
      <c r="R300" s="2">
        <v>42</v>
      </c>
      <c r="S300" s="2">
        <v>89</v>
      </c>
      <c r="T300" s="2">
        <v>47</v>
      </c>
      <c r="U300" s="4">
        <v>52.80898876404494</v>
      </c>
      <c r="V300" s="21" t="s">
        <v>471</v>
      </c>
      <c r="W300">
        <v>1</v>
      </c>
      <c r="X300">
        <v>46</v>
      </c>
      <c r="Y300" s="20">
        <v>1</v>
      </c>
    </row>
    <row r="301" spans="1:25" x14ac:dyDescent="0.3">
      <c r="A301" s="20" t="s">
        <v>547</v>
      </c>
      <c r="B301" s="21" t="s">
        <v>14</v>
      </c>
      <c r="C301" s="21" t="s">
        <v>581</v>
      </c>
      <c r="D301" s="3">
        <v>45733</v>
      </c>
      <c r="E301" s="21" t="s">
        <v>10</v>
      </c>
      <c r="F301" s="21" t="s">
        <v>11</v>
      </c>
      <c r="G301" s="21" t="s">
        <v>54</v>
      </c>
      <c r="H301" s="2">
        <v>1</v>
      </c>
      <c r="I301" s="2">
        <v>1299</v>
      </c>
      <c r="J301" s="2">
        <v>130</v>
      </c>
      <c r="K301" s="21" t="s">
        <v>97</v>
      </c>
      <c r="L301" s="21" t="s">
        <v>12</v>
      </c>
      <c r="M301" s="21" t="s">
        <v>13</v>
      </c>
      <c r="N301" s="3">
        <v>44744</v>
      </c>
      <c r="O301" s="21" t="s">
        <v>55</v>
      </c>
      <c r="P301" s="21" t="s">
        <v>44</v>
      </c>
      <c r="Q301" s="21" t="s">
        <v>56</v>
      </c>
      <c r="R301" s="2">
        <v>820</v>
      </c>
      <c r="S301" s="2">
        <v>1169</v>
      </c>
      <c r="T301" s="2">
        <v>349</v>
      </c>
      <c r="U301" s="4">
        <v>29.854576561163388</v>
      </c>
      <c r="V301" s="21" t="s">
        <v>471</v>
      </c>
      <c r="W301">
        <v>1</v>
      </c>
      <c r="X301">
        <v>32</v>
      </c>
      <c r="Y301" s="20">
        <v>1</v>
      </c>
    </row>
    <row r="302" spans="1:25" x14ac:dyDescent="0.3">
      <c r="A302" s="20" t="s">
        <v>547</v>
      </c>
      <c r="B302" s="21" t="s">
        <v>14</v>
      </c>
      <c r="C302" s="21" t="s">
        <v>582</v>
      </c>
      <c r="D302" s="3">
        <v>45733</v>
      </c>
      <c r="E302" s="21" t="s">
        <v>28</v>
      </c>
      <c r="F302" s="21" t="s">
        <v>29</v>
      </c>
      <c r="G302" s="21" t="s">
        <v>42</v>
      </c>
      <c r="H302" s="2">
        <v>2</v>
      </c>
      <c r="I302" s="2">
        <v>349</v>
      </c>
      <c r="J302" s="2">
        <v>34.9</v>
      </c>
      <c r="K302" s="21" t="s">
        <v>97</v>
      </c>
      <c r="L302" s="21" t="s">
        <v>7</v>
      </c>
      <c r="M302" s="21" t="s">
        <v>30</v>
      </c>
      <c r="N302" s="3">
        <v>45211</v>
      </c>
      <c r="O302" s="21" t="s">
        <v>43</v>
      </c>
      <c r="P302" s="21" t="s">
        <v>44</v>
      </c>
      <c r="Q302" s="21" t="s">
        <v>45</v>
      </c>
      <c r="R302" s="2">
        <v>165</v>
      </c>
      <c r="S302" s="2">
        <v>663.1</v>
      </c>
      <c r="T302" s="2">
        <v>333.1</v>
      </c>
      <c r="U302" s="4">
        <v>50.233750565525561</v>
      </c>
      <c r="V302" s="21" t="s">
        <v>471</v>
      </c>
      <c r="W302">
        <v>1</v>
      </c>
      <c r="X302">
        <v>19</v>
      </c>
      <c r="Y302" s="20">
        <v>1</v>
      </c>
    </row>
    <row r="303" spans="1:25" x14ac:dyDescent="0.3">
      <c r="A303" s="20" t="s">
        <v>547</v>
      </c>
      <c r="B303" s="21" t="s">
        <v>14</v>
      </c>
      <c r="C303" s="21" t="s">
        <v>583</v>
      </c>
      <c r="D303" s="3">
        <v>45734</v>
      </c>
      <c r="E303" s="21" t="s">
        <v>101</v>
      </c>
      <c r="F303" s="21" t="s">
        <v>170</v>
      </c>
      <c r="G303" s="21" t="s">
        <v>50</v>
      </c>
      <c r="H303" s="2">
        <v>3</v>
      </c>
      <c r="I303" s="2">
        <v>45</v>
      </c>
      <c r="J303" s="2">
        <v>0</v>
      </c>
      <c r="K303" s="21" t="s">
        <v>97</v>
      </c>
      <c r="L303" s="21" t="s">
        <v>265</v>
      </c>
      <c r="M303" s="21" t="s">
        <v>101</v>
      </c>
      <c r="N303" s="3"/>
      <c r="O303" s="21" t="s">
        <v>51</v>
      </c>
      <c r="P303" s="21" t="s">
        <v>52</v>
      </c>
      <c r="Q303" s="21" t="s">
        <v>53</v>
      </c>
      <c r="R303" s="2">
        <v>18</v>
      </c>
      <c r="S303" s="2">
        <v>135</v>
      </c>
      <c r="T303" s="2">
        <v>81</v>
      </c>
      <c r="U303" s="4">
        <v>60</v>
      </c>
      <c r="V303" s="21" t="s">
        <v>471</v>
      </c>
      <c r="W303">
        <v>1</v>
      </c>
      <c r="X303"/>
      <c r="Y303" s="20"/>
    </row>
    <row r="304" spans="1:25" x14ac:dyDescent="0.3">
      <c r="A304" s="20" t="s">
        <v>547</v>
      </c>
      <c r="B304" s="21" t="s">
        <v>14</v>
      </c>
      <c r="C304" s="21" t="s">
        <v>584</v>
      </c>
      <c r="D304" s="3">
        <v>45734</v>
      </c>
      <c r="E304" s="21" t="s">
        <v>5</v>
      </c>
      <c r="F304" s="21" t="s">
        <v>6</v>
      </c>
      <c r="G304" s="21" t="s">
        <v>60</v>
      </c>
      <c r="H304" s="2">
        <v>1</v>
      </c>
      <c r="I304" s="2">
        <v>899</v>
      </c>
      <c r="J304" s="2">
        <v>89.9</v>
      </c>
      <c r="K304" s="21" t="s">
        <v>97</v>
      </c>
      <c r="L304" s="21" t="s">
        <v>7</v>
      </c>
      <c r="M304" s="21" t="s">
        <v>8</v>
      </c>
      <c r="N304" s="3">
        <v>44635</v>
      </c>
      <c r="O304" s="21" t="s">
        <v>61</v>
      </c>
      <c r="P304" s="21" t="s">
        <v>48</v>
      </c>
      <c r="Q304" s="21" t="s">
        <v>62</v>
      </c>
      <c r="R304" s="2">
        <v>520</v>
      </c>
      <c r="S304" s="2">
        <v>809.1</v>
      </c>
      <c r="T304" s="2">
        <v>289.10000000000002</v>
      </c>
      <c r="U304" s="4">
        <v>35.731059201582006</v>
      </c>
      <c r="V304" s="21" t="s">
        <v>471</v>
      </c>
      <c r="W304">
        <v>1</v>
      </c>
      <c r="X304">
        <v>52</v>
      </c>
      <c r="Y304" s="20">
        <v>1</v>
      </c>
    </row>
    <row r="305" spans="1:25" x14ac:dyDescent="0.3">
      <c r="A305" s="20" t="s">
        <v>547</v>
      </c>
      <c r="B305" s="21" t="s">
        <v>14</v>
      </c>
      <c r="C305" s="21" t="s">
        <v>585</v>
      </c>
      <c r="D305" s="3">
        <v>45735</v>
      </c>
      <c r="E305" s="21" t="s">
        <v>31</v>
      </c>
      <c r="F305" s="21" t="s">
        <v>32</v>
      </c>
      <c r="G305" s="21" t="s">
        <v>65</v>
      </c>
      <c r="H305" s="2">
        <v>2</v>
      </c>
      <c r="I305" s="2">
        <v>749</v>
      </c>
      <c r="J305" s="2">
        <v>75</v>
      </c>
      <c r="K305" s="21" t="s">
        <v>97</v>
      </c>
      <c r="L305" s="21" t="s">
        <v>20</v>
      </c>
      <c r="M305" s="21" t="s">
        <v>30</v>
      </c>
      <c r="N305" s="3">
        <v>45263</v>
      </c>
      <c r="O305" s="21" t="s">
        <v>66</v>
      </c>
      <c r="P305" s="21" t="s">
        <v>44</v>
      </c>
      <c r="Q305" s="21" t="s">
        <v>67</v>
      </c>
      <c r="R305" s="2">
        <v>490</v>
      </c>
      <c r="S305" s="2">
        <v>1423</v>
      </c>
      <c r="T305" s="2">
        <v>443</v>
      </c>
      <c r="U305" s="4">
        <v>31.131412508784255</v>
      </c>
      <c r="V305" s="21" t="s">
        <v>471</v>
      </c>
      <c r="W305">
        <v>1</v>
      </c>
      <c r="X305">
        <v>20</v>
      </c>
      <c r="Y305" s="20">
        <v>1</v>
      </c>
    </row>
    <row r="306" spans="1:25" x14ac:dyDescent="0.3">
      <c r="A306" s="20" t="s">
        <v>547</v>
      </c>
      <c r="B306" s="21" t="s">
        <v>14</v>
      </c>
      <c r="C306" s="21" t="s">
        <v>586</v>
      </c>
      <c r="D306" s="3">
        <v>45735</v>
      </c>
      <c r="E306" s="21" t="s">
        <v>553</v>
      </c>
      <c r="F306" s="21" t="s">
        <v>554</v>
      </c>
      <c r="G306" s="21" t="s">
        <v>57</v>
      </c>
      <c r="H306" s="2">
        <v>1</v>
      </c>
      <c r="I306" s="2">
        <v>529</v>
      </c>
      <c r="J306" s="2">
        <v>52.9</v>
      </c>
      <c r="K306" s="21" t="s">
        <v>97</v>
      </c>
      <c r="L306" s="21" t="s">
        <v>20</v>
      </c>
      <c r="M306" s="21" t="s">
        <v>30</v>
      </c>
      <c r="N306" s="3">
        <v>45714</v>
      </c>
      <c r="O306" s="21" t="s">
        <v>58</v>
      </c>
      <c r="P306" s="21" t="s">
        <v>44</v>
      </c>
      <c r="Q306" s="21" t="s">
        <v>59</v>
      </c>
      <c r="R306" s="2">
        <v>260</v>
      </c>
      <c r="S306" s="2">
        <v>476.1</v>
      </c>
      <c r="T306" s="2">
        <v>216.10000000000002</v>
      </c>
      <c r="U306" s="4">
        <v>45.389624028565429</v>
      </c>
      <c r="V306" s="21" t="s">
        <v>471</v>
      </c>
      <c r="W306">
        <v>1</v>
      </c>
      <c r="X306">
        <v>7</v>
      </c>
      <c r="Y306" s="20">
        <v>1</v>
      </c>
    </row>
    <row r="307" spans="1:25" x14ac:dyDescent="0.3">
      <c r="A307" s="20" t="s">
        <v>547</v>
      </c>
      <c r="B307" s="21" t="s">
        <v>14</v>
      </c>
      <c r="C307" s="21" t="s">
        <v>587</v>
      </c>
      <c r="D307" s="3">
        <v>45736</v>
      </c>
      <c r="E307" s="21" t="s">
        <v>101</v>
      </c>
      <c r="F307" s="21" t="s">
        <v>170</v>
      </c>
      <c r="G307" s="21" t="s">
        <v>63</v>
      </c>
      <c r="H307" s="2">
        <v>4</v>
      </c>
      <c r="I307" s="2">
        <v>29</v>
      </c>
      <c r="J307" s="2">
        <v>0</v>
      </c>
      <c r="K307" s="21" t="s">
        <v>97</v>
      </c>
      <c r="L307" s="21" t="s">
        <v>265</v>
      </c>
      <c r="M307" s="21" t="s">
        <v>101</v>
      </c>
      <c r="N307" s="3"/>
      <c r="O307" s="21" t="s">
        <v>64</v>
      </c>
      <c r="P307" s="21" t="s">
        <v>52</v>
      </c>
      <c r="Q307" s="21" t="s">
        <v>62</v>
      </c>
      <c r="R307" s="2">
        <v>11</v>
      </c>
      <c r="S307" s="2">
        <v>116</v>
      </c>
      <c r="T307" s="2">
        <v>72</v>
      </c>
      <c r="U307" s="4">
        <v>62.068965517241381</v>
      </c>
      <c r="V307" s="21" t="s">
        <v>471</v>
      </c>
      <c r="W307">
        <v>1</v>
      </c>
      <c r="X307"/>
      <c r="Y307" s="20"/>
    </row>
    <row r="308" spans="1:25" x14ac:dyDescent="0.3">
      <c r="A308" s="20" t="s">
        <v>547</v>
      </c>
      <c r="B308" s="21" t="s">
        <v>14</v>
      </c>
      <c r="C308" s="21" t="s">
        <v>588</v>
      </c>
      <c r="D308" s="3">
        <v>45736</v>
      </c>
      <c r="E308" s="21" t="s">
        <v>21</v>
      </c>
      <c r="F308" s="21" t="s">
        <v>22</v>
      </c>
      <c r="G308" s="21" t="s">
        <v>46</v>
      </c>
      <c r="H308" s="2">
        <v>2</v>
      </c>
      <c r="I308" s="2">
        <v>199</v>
      </c>
      <c r="J308" s="2">
        <v>20</v>
      </c>
      <c r="K308" s="21" t="s">
        <v>97</v>
      </c>
      <c r="L308" s="21" t="s">
        <v>7</v>
      </c>
      <c r="M308" s="21" t="s">
        <v>8</v>
      </c>
      <c r="N308" s="3">
        <v>44948</v>
      </c>
      <c r="O308" s="21" t="s">
        <v>47</v>
      </c>
      <c r="P308" s="21" t="s">
        <v>48</v>
      </c>
      <c r="Q308" s="21" t="s">
        <v>49</v>
      </c>
      <c r="R308" s="2">
        <v>95</v>
      </c>
      <c r="S308" s="2">
        <v>378</v>
      </c>
      <c r="T308" s="2">
        <v>188</v>
      </c>
      <c r="U308" s="4">
        <v>49.735449735449734</v>
      </c>
      <c r="V308" s="21" t="s">
        <v>471</v>
      </c>
      <c r="W308">
        <v>1</v>
      </c>
      <c r="X308">
        <v>32</v>
      </c>
      <c r="Y308" s="20">
        <v>1</v>
      </c>
    </row>
    <row r="309" spans="1:25" x14ac:dyDescent="0.3">
      <c r="A309" s="20" t="s">
        <v>547</v>
      </c>
      <c r="B309" s="21" t="s">
        <v>14</v>
      </c>
      <c r="C309" s="21" t="s">
        <v>589</v>
      </c>
      <c r="D309" s="3">
        <v>45737</v>
      </c>
      <c r="E309" s="21" t="s">
        <v>25</v>
      </c>
      <c r="F309" s="21" t="s">
        <v>26</v>
      </c>
      <c r="G309" s="21" t="s">
        <v>75</v>
      </c>
      <c r="H309" s="2">
        <v>1</v>
      </c>
      <c r="I309" s="2">
        <v>599</v>
      </c>
      <c r="J309" s="2">
        <v>0</v>
      </c>
      <c r="K309" s="21" t="s">
        <v>97</v>
      </c>
      <c r="L309" s="21" t="s">
        <v>27</v>
      </c>
      <c r="M309" s="21" t="s">
        <v>13</v>
      </c>
      <c r="N309" s="3">
        <v>45168</v>
      </c>
      <c r="O309" s="21" t="s">
        <v>76</v>
      </c>
      <c r="P309" s="21" t="s">
        <v>44</v>
      </c>
      <c r="Q309" s="21" t="s">
        <v>59</v>
      </c>
      <c r="R309" s="2">
        <v>350</v>
      </c>
      <c r="S309" s="2">
        <v>599</v>
      </c>
      <c r="T309" s="2">
        <v>249</v>
      </c>
      <c r="U309" s="4">
        <v>41.569282136894827</v>
      </c>
      <c r="V309" s="21" t="s">
        <v>471</v>
      </c>
      <c r="W309">
        <v>1</v>
      </c>
      <c r="X309">
        <v>46</v>
      </c>
      <c r="Y309" s="20">
        <v>1</v>
      </c>
    </row>
    <row r="310" spans="1:25" x14ac:dyDescent="0.3">
      <c r="A310" s="20" t="s">
        <v>547</v>
      </c>
      <c r="B310" s="21" t="s">
        <v>14</v>
      </c>
      <c r="C310" s="21" t="s">
        <v>590</v>
      </c>
      <c r="D310" s="3">
        <v>45737</v>
      </c>
      <c r="E310" s="21" t="s">
        <v>10</v>
      </c>
      <c r="F310" s="21" t="s">
        <v>11</v>
      </c>
      <c r="G310" s="21" t="s">
        <v>68</v>
      </c>
      <c r="H310" s="2">
        <v>1</v>
      </c>
      <c r="I310" s="2">
        <v>229</v>
      </c>
      <c r="J310" s="2">
        <v>22.9</v>
      </c>
      <c r="K310" s="21" t="s">
        <v>97</v>
      </c>
      <c r="L310" s="21" t="s">
        <v>12</v>
      </c>
      <c r="M310" s="21" t="s">
        <v>13</v>
      </c>
      <c r="N310" s="3">
        <v>44744</v>
      </c>
      <c r="O310" s="21" t="s">
        <v>69</v>
      </c>
      <c r="P310" s="21" t="s">
        <v>44</v>
      </c>
      <c r="Q310" s="21" t="s">
        <v>70</v>
      </c>
      <c r="R310" s="2">
        <v>110</v>
      </c>
      <c r="S310" s="2">
        <v>206.1</v>
      </c>
      <c r="T310" s="2">
        <v>96.1</v>
      </c>
      <c r="U310" s="4">
        <v>46.62785055798156</v>
      </c>
      <c r="V310" s="21" t="s">
        <v>471</v>
      </c>
      <c r="W310">
        <v>1</v>
      </c>
      <c r="X310">
        <v>32</v>
      </c>
      <c r="Y310" s="20">
        <v>1</v>
      </c>
    </row>
    <row r="311" spans="1:25" x14ac:dyDescent="0.3">
      <c r="A311" s="20" t="s">
        <v>547</v>
      </c>
      <c r="B311" s="21" t="s">
        <v>14</v>
      </c>
      <c r="C311" s="21" t="s">
        <v>591</v>
      </c>
      <c r="D311" s="3">
        <v>45738</v>
      </c>
      <c r="E311" s="21" t="s">
        <v>101</v>
      </c>
      <c r="F311" s="21" t="s">
        <v>170</v>
      </c>
      <c r="G311" s="21" t="s">
        <v>71</v>
      </c>
      <c r="H311" s="2">
        <v>1</v>
      </c>
      <c r="I311" s="2">
        <v>459</v>
      </c>
      <c r="J311" s="2">
        <v>0</v>
      </c>
      <c r="K311" s="21" t="s">
        <v>97</v>
      </c>
      <c r="L311" s="21" t="s">
        <v>265</v>
      </c>
      <c r="M311" s="21" t="s">
        <v>101</v>
      </c>
      <c r="N311" s="3"/>
      <c r="O311" s="21" t="s">
        <v>72</v>
      </c>
      <c r="P311" s="21" t="s">
        <v>48</v>
      </c>
      <c r="Q311" s="21" t="s">
        <v>49</v>
      </c>
      <c r="R311" s="2">
        <v>210</v>
      </c>
      <c r="S311" s="2">
        <v>459</v>
      </c>
      <c r="T311" s="2">
        <v>249</v>
      </c>
      <c r="U311" s="4">
        <v>54.248366013071895</v>
      </c>
      <c r="V311" s="21" t="s">
        <v>471</v>
      </c>
      <c r="W311">
        <v>1</v>
      </c>
      <c r="X311"/>
      <c r="Y311" s="20"/>
    </row>
    <row r="312" spans="1:25" x14ac:dyDescent="0.3">
      <c r="A312" s="20" t="s">
        <v>547</v>
      </c>
      <c r="B312" s="21" t="s">
        <v>14</v>
      </c>
      <c r="C312" s="21" t="s">
        <v>592</v>
      </c>
      <c r="D312" s="3">
        <v>45738</v>
      </c>
      <c r="E312" s="21" t="s">
        <v>28</v>
      </c>
      <c r="F312" s="21" t="s">
        <v>29</v>
      </c>
      <c r="G312" s="21" t="s">
        <v>73</v>
      </c>
      <c r="H312" s="2">
        <v>3</v>
      </c>
      <c r="I312" s="2">
        <v>19</v>
      </c>
      <c r="J312" s="2">
        <v>0</v>
      </c>
      <c r="K312" s="21" t="s">
        <v>97</v>
      </c>
      <c r="L312" s="21" t="s">
        <v>7</v>
      </c>
      <c r="M312" s="21" t="s">
        <v>30</v>
      </c>
      <c r="N312" s="3">
        <v>45211</v>
      </c>
      <c r="O312" s="21" t="s">
        <v>74</v>
      </c>
      <c r="P312" s="21" t="s">
        <v>52</v>
      </c>
      <c r="Q312" s="21" t="s">
        <v>62</v>
      </c>
      <c r="R312" s="2">
        <v>8</v>
      </c>
      <c r="S312" s="2">
        <v>57</v>
      </c>
      <c r="T312" s="2">
        <v>33</v>
      </c>
      <c r="U312" s="4">
        <v>57.894736842105267</v>
      </c>
      <c r="V312" s="21" t="s">
        <v>471</v>
      </c>
      <c r="W312">
        <v>1</v>
      </c>
      <c r="X312">
        <v>19</v>
      </c>
      <c r="Y312" s="20">
        <v>1</v>
      </c>
    </row>
    <row r="313" spans="1:25" x14ac:dyDescent="0.3">
      <c r="A313" s="20" t="s">
        <v>547</v>
      </c>
      <c r="B313" s="21" t="s">
        <v>14</v>
      </c>
      <c r="C313" s="21" t="s">
        <v>593</v>
      </c>
      <c r="D313" s="3">
        <v>45739</v>
      </c>
      <c r="E313" s="21" t="s">
        <v>5</v>
      </c>
      <c r="F313" s="21" t="s">
        <v>6</v>
      </c>
      <c r="G313" s="21" t="s">
        <v>84</v>
      </c>
      <c r="H313" s="2">
        <v>1</v>
      </c>
      <c r="I313" s="2">
        <v>2199</v>
      </c>
      <c r="J313" s="2">
        <v>220</v>
      </c>
      <c r="K313" s="21" t="s">
        <v>97</v>
      </c>
      <c r="L313" s="21" t="s">
        <v>7</v>
      </c>
      <c r="M313" s="21" t="s">
        <v>8</v>
      </c>
      <c r="N313" s="3">
        <v>44635</v>
      </c>
      <c r="O313" s="21" t="s">
        <v>85</v>
      </c>
      <c r="P313" s="21" t="s">
        <v>44</v>
      </c>
      <c r="Q313" s="21" t="s">
        <v>56</v>
      </c>
      <c r="R313" s="2">
        <v>1380</v>
      </c>
      <c r="S313" s="2">
        <v>1979</v>
      </c>
      <c r="T313" s="2">
        <v>599</v>
      </c>
      <c r="U313" s="4">
        <v>30.267812026275898</v>
      </c>
      <c r="V313" s="21" t="s">
        <v>471</v>
      </c>
      <c r="W313">
        <v>1</v>
      </c>
      <c r="X313">
        <v>52</v>
      </c>
      <c r="Y313" s="20">
        <v>1</v>
      </c>
    </row>
    <row r="314" spans="1:25" x14ac:dyDescent="0.3">
      <c r="A314" s="20" t="s">
        <v>547</v>
      </c>
      <c r="B314" s="21" t="s">
        <v>14</v>
      </c>
      <c r="C314" s="21" t="s">
        <v>594</v>
      </c>
      <c r="D314" s="3">
        <v>45739</v>
      </c>
      <c r="E314" s="21" t="s">
        <v>31</v>
      </c>
      <c r="F314" s="21" t="s">
        <v>32</v>
      </c>
      <c r="G314" s="21" t="s">
        <v>79</v>
      </c>
      <c r="H314" s="2">
        <v>1</v>
      </c>
      <c r="I314" s="2">
        <v>189</v>
      </c>
      <c r="J314" s="2">
        <v>19</v>
      </c>
      <c r="K314" s="21" t="s">
        <v>97</v>
      </c>
      <c r="L314" s="21" t="s">
        <v>20</v>
      </c>
      <c r="M314" s="21" t="s">
        <v>30</v>
      </c>
      <c r="N314" s="3">
        <v>45263</v>
      </c>
      <c r="O314" s="21" t="s">
        <v>80</v>
      </c>
      <c r="P314" s="21" t="s">
        <v>44</v>
      </c>
      <c r="Q314" s="21" t="s">
        <v>70</v>
      </c>
      <c r="R314" s="2">
        <v>95</v>
      </c>
      <c r="S314" s="2">
        <v>170</v>
      </c>
      <c r="T314" s="2">
        <v>75</v>
      </c>
      <c r="U314" s="4">
        <v>44.117647058823529</v>
      </c>
      <c r="V314" s="21" t="s">
        <v>471</v>
      </c>
      <c r="W314">
        <v>1</v>
      </c>
      <c r="X314">
        <v>20</v>
      </c>
      <c r="Y314" s="20">
        <v>1</v>
      </c>
    </row>
    <row r="315" spans="1:25" x14ac:dyDescent="0.3">
      <c r="A315" s="20" t="s">
        <v>547</v>
      </c>
      <c r="B315" s="21" t="s">
        <v>14</v>
      </c>
      <c r="C315" s="21" t="s">
        <v>595</v>
      </c>
      <c r="D315" s="3">
        <v>45740</v>
      </c>
      <c r="E315" s="21" t="s">
        <v>101</v>
      </c>
      <c r="F315" s="21" t="s">
        <v>170</v>
      </c>
      <c r="G315" s="21" t="s">
        <v>81</v>
      </c>
      <c r="H315" s="2">
        <v>2</v>
      </c>
      <c r="I315" s="2">
        <v>89</v>
      </c>
      <c r="J315" s="2">
        <v>8.9</v>
      </c>
      <c r="K315" s="21" t="s">
        <v>97</v>
      </c>
      <c r="L315" s="21" t="s">
        <v>265</v>
      </c>
      <c r="M315" s="21" t="s">
        <v>101</v>
      </c>
      <c r="N315" s="3"/>
      <c r="O315" s="21" t="s">
        <v>82</v>
      </c>
      <c r="P315" s="21" t="s">
        <v>52</v>
      </c>
      <c r="Q315" s="21" t="s">
        <v>83</v>
      </c>
      <c r="R315" s="2">
        <v>42</v>
      </c>
      <c r="S315" s="2">
        <v>169.1</v>
      </c>
      <c r="T315" s="2">
        <v>85.1</v>
      </c>
      <c r="U315" s="4">
        <v>50.325251330573629</v>
      </c>
      <c r="V315" s="21" t="s">
        <v>471</v>
      </c>
      <c r="W315">
        <v>1</v>
      </c>
      <c r="X315"/>
      <c r="Y315" s="20"/>
    </row>
    <row r="316" spans="1:25" x14ac:dyDescent="0.3">
      <c r="A316" s="20" t="s">
        <v>547</v>
      </c>
      <c r="B316" s="21" t="s">
        <v>14</v>
      </c>
      <c r="C316" s="21" t="s">
        <v>596</v>
      </c>
      <c r="D316" s="3">
        <v>45740</v>
      </c>
      <c r="E316" s="21" t="s">
        <v>553</v>
      </c>
      <c r="F316" s="21" t="s">
        <v>554</v>
      </c>
      <c r="G316" s="21" t="s">
        <v>77</v>
      </c>
      <c r="H316" s="2">
        <v>1</v>
      </c>
      <c r="I316" s="2">
        <v>1099</v>
      </c>
      <c r="J316" s="2">
        <v>110</v>
      </c>
      <c r="K316" s="21" t="s">
        <v>97</v>
      </c>
      <c r="L316" s="21" t="s">
        <v>20</v>
      </c>
      <c r="M316" s="21" t="s">
        <v>30</v>
      </c>
      <c r="N316" s="3">
        <v>45714</v>
      </c>
      <c r="O316" s="21" t="s">
        <v>78</v>
      </c>
      <c r="P316" s="21" t="s">
        <v>48</v>
      </c>
      <c r="Q316" s="21" t="s">
        <v>62</v>
      </c>
      <c r="R316" s="2">
        <v>650</v>
      </c>
      <c r="S316" s="2">
        <v>989</v>
      </c>
      <c r="T316" s="2">
        <v>339</v>
      </c>
      <c r="U316" s="4">
        <v>34.277047522750252</v>
      </c>
      <c r="V316" s="21" t="s">
        <v>471</v>
      </c>
      <c r="W316">
        <v>1</v>
      </c>
      <c r="X316">
        <v>7</v>
      </c>
      <c r="Y316" s="20">
        <v>1</v>
      </c>
    </row>
    <row r="317" spans="1:25" x14ac:dyDescent="0.3">
      <c r="A317" s="20" t="s">
        <v>547</v>
      </c>
      <c r="B317" s="21" t="s">
        <v>14</v>
      </c>
      <c r="C317" s="21" t="s">
        <v>597</v>
      </c>
      <c r="D317" s="3">
        <v>45741</v>
      </c>
      <c r="E317" s="21" t="s">
        <v>21</v>
      </c>
      <c r="F317" s="21" t="s">
        <v>22</v>
      </c>
      <c r="G317" s="21" t="s">
        <v>54</v>
      </c>
      <c r="H317" s="2">
        <v>1</v>
      </c>
      <c r="I317" s="2">
        <v>1299</v>
      </c>
      <c r="J317" s="2">
        <v>130</v>
      </c>
      <c r="K317" s="21" t="s">
        <v>97</v>
      </c>
      <c r="L317" s="21" t="s">
        <v>7</v>
      </c>
      <c r="M317" s="21" t="s">
        <v>8</v>
      </c>
      <c r="N317" s="3">
        <v>44948</v>
      </c>
      <c r="O317" s="21" t="s">
        <v>55</v>
      </c>
      <c r="P317" s="21" t="s">
        <v>44</v>
      </c>
      <c r="Q317" s="21" t="s">
        <v>56</v>
      </c>
      <c r="R317" s="2">
        <v>820</v>
      </c>
      <c r="S317" s="2">
        <v>1169</v>
      </c>
      <c r="T317" s="2">
        <v>349</v>
      </c>
      <c r="U317" s="4">
        <v>29.854576561163388</v>
      </c>
      <c r="V317" s="21" t="s">
        <v>471</v>
      </c>
      <c r="W317">
        <v>1</v>
      </c>
      <c r="X317">
        <v>32</v>
      </c>
      <c r="Y317" s="20">
        <v>1</v>
      </c>
    </row>
    <row r="318" spans="1:25" x14ac:dyDescent="0.3">
      <c r="A318" s="20" t="s">
        <v>547</v>
      </c>
      <c r="B318" s="21" t="s">
        <v>14</v>
      </c>
      <c r="C318" s="21" t="s">
        <v>598</v>
      </c>
      <c r="D318" s="3">
        <v>45741</v>
      </c>
      <c r="E318" s="21" t="s">
        <v>25</v>
      </c>
      <c r="F318" s="21" t="s">
        <v>26</v>
      </c>
      <c r="G318" s="21" t="s">
        <v>42</v>
      </c>
      <c r="H318" s="2">
        <v>2</v>
      </c>
      <c r="I318" s="2">
        <v>349</v>
      </c>
      <c r="J318" s="2">
        <v>0</v>
      </c>
      <c r="K318" s="21" t="s">
        <v>97</v>
      </c>
      <c r="L318" s="21" t="s">
        <v>27</v>
      </c>
      <c r="M318" s="21" t="s">
        <v>13</v>
      </c>
      <c r="N318" s="3">
        <v>45168</v>
      </c>
      <c r="O318" s="21" t="s">
        <v>43</v>
      </c>
      <c r="P318" s="21" t="s">
        <v>44</v>
      </c>
      <c r="Q318" s="21" t="s">
        <v>45</v>
      </c>
      <c r="R318" s="2">
        <v>165</v>
      </c>
      <c r="S318" s="2">
        <v>698</v>
      </c>
      <c r="T318" s="2">
        <v>368</v>
      </c>
      <c r="U318" s="4">
        <v>52.722063037249278</v>
      </c>
      <c r="V318" s="21" t="s">
        <v>471</v>
      </c>
      <c r="W318">
        <v>1</v>
      </c>
      <c r="X318">
        <v>46</v>
      </c>
      <c r="Y318" s="20">
        <v>1</v>
      </c>
    </row>
    <row r="319" spans="1:25" x14ac:dyDescent="0.3">
      <c r="A319" s="20" t="s">
        <v>547</v>
      </c>
      <c r="B319" s="21" t="s">
        <v>14</v>
      </c>
      <c r="C319" s="21" t="s">
        <v>599</v>
      </c>
      <c r="D319" s="3">
        <v>45742</v>
      </c>
      <c r="E319" s="21" t="s">
        <v>101</v>
      </c>
      <c r="F319" s="21" t="s">
        <v>170</v>
      </c>
      <c r="G319" s="21" t="s">
        <v>50</v>
      </c>
      <c r="H319" s="2">
        <v>2</v>
      </c>
      <c r="I319" s="2">
        <v>45</v>
      </c>
      <c r="J319" s="2">
        <v>0</v>
      </c>
      <c r="K319" s="21" t="s">
        <v>97</v>
      </c>
      <c r="L319" s="21" t="s">
        <v>265</v>
      </c>
      <c r="M319" s="21" t="s">
        <v>101</v>
      </c>
      <c r="N319" s="3"/>
      <c r="O319" s="21" t="s">
        <v>51</v>
      </c>
      <c r="P319" s="21" t="s">
        <v>52</v>
      </c>
      <c r="Q319" s="21" t="s">
        <v>53</v>
      </c>
      <c r="R319" s="2">
        <v>18</v>
      </c>
      <c r="S319" s="2">
        <v>90</v>
      </c>
      <c r="T319" s="2">
        <v>54</v>
      </c>
      <c r="U319" s="4">
        <v>60</v>
      </c>
      <c r="V319" s="21" t="s">
        <v>471</v>
      </c>
      <c r="W319">
        <v>1</v>
      </c>
      <c r="X319"/>
      <c r="Y319" s="20"/>
    </row>
    <row r="320" spans="1:25" x14ac:dyDescent="0.3">
      <c r="A320" s="20" t="s">
        <v>547</v>
      </c>
      <c r="B320" s="21" t="s">
        <v>14</v>
      </c>
      <c r="C320" s="21" t="s">
        <v>600</v>
      </c>
      <c r="D320" s="3">
        <v>45742</v>
      </c>
      <c r="E320" s="21" t="s">
        <v>10</v>
      </c>
      <c r="F320" s="21" t="s">
        <v>11</v>
      </c>
      <c r="G320" s="21" t="s">
        <v>60</v>
      </c>
      <c r="H320" s="2">
        <v>1</v>
      </c>
      <c r="I320" s="2">
        <v>899</v>
      </c>
      <c r="J320" s="2">
        <v>0</v>
      </c>
      <c r="K320" s="21" t="s">
        <v>97</v>
      </c>
      <c r="L320" s="21" t="s">
        <v>12</v>
      </c>
      <c r="M320" s="21" t="s">
        <v>13</v>
      </c>
      <c r="N320" s="3">
        <v>44744</v>
      </c>
      <c r="O320" s="21" t="s">
        <v>61</v>
      </c>
      <c r="P320" s="21" t="s">
        <v>48</v>
      </c>
      <c r="Q320" s="21" t="s">
        <v>62</v>
      </c>
      <c r="R320" s="2">
        <v>520</v>
      </c>
      <c r="S320" s="2">
        <v>899</v>
      </c>
      <c r="T320" s="2">
        <v>379</v>
      </c>
      <c r="U320" s="4">
        <v>42.157953281423808</v>
      </c>
      <c r="V320" s="21" t="s">
        <v>471</v>
      </c>
      <c r="W320">
        <v>1</v>
      </c>
      <c r="X320">
        <v>32</v>
      </c>
      <c r="Y320" s="20">
        <v>1</v>
      </c>
    </row>
    <row r="321" spans="1:25" x14ac:dyDescent="0.3">
      <c r="A321" s="20" t="s">
        <v>547</v>
      </c>
      <c r="B321" s="21" t="s">
        <v>14</v>
      </c>
      <c r="C321" s="21" t="s">
        <v>601</v>
      </c>
      <c r="D321" s="3">
        <v>45743</v>
      </c>
      <c r="E321" s="21" t="s">
        <v>28</v>
      </c>
      <c r="F321" s="21" t="s">
        <v>29</v>
      </c>
      <c r="G321" s="21" t="s">
        <v>65</v>
      </c>
      <c r="H321" s="2">
        <v>1</v>
      </c>
      <c r="I321" s="2">
        <v>749</v>
      </c>
      <c r="J321" s="2">
        <v>74.900000000000006</v>
      </c>
      <c r="K321" s="21" t="s">
        <v>97</v>
      </c>
      <c r="L321" s="21" t="s">
        <v>7</v>
      </c>
      <c r="M321" s="21" t="s">
        <v>30</v>
      </c>
      <c r="N321" s="3">
        <v>45211</v>
      </c>
      <c r="O321" s="21" t="s">
        <v>66</v>
      </c>
      <c r="P321" s="21" t="s">
        <v>44</v>
      </c>
      <c r="Q321" s="21" t="s">
        <v>67</v>
      </c>
      <c r="R321" s="2">
        <v>490</v>
      </c>
      <c r="S321" s="2">
        <v>674.1</v>
      </c>
      <c r="T321" s="2">
        <v>184.10000000000002</v>
      </c>
      <c r="U321" s="4">
        <v>27.310488058151609</v>
      </c>
      <c r="V321" s="21" t="s">
        <v>471</v>
      </c>
      <c r="W321">
        <v>1</v>
      </c>
      <c r="X321">
        <v>19</v>
      </c>
      <c r="Y321" s="20">
        <v>1</v>
      </c>
    </row>
    <row r="322" spans="1:25" x14ac:dyDescent="0.3">
      <c r="A322" s="20" t="s">
        <v>547</v>
      </c>
      <c r="B322" s="21" t="s">
        <v>14</v>
      </c>
      <c r="C322" s="21" t="s">
        <v>602</v>
      </c>
      <c r="D322" s="3">
        <v>45743</v>
      </c>
      <c r="E322" s="21" t="s">
        <v>5</v>
      </c>
      <c r="F322" s="21" t="s">
        <v>6</v>
      </c>
      <c r="G322" s="21" t="s">
        <v>57</v>
      </c>
      <c r="H322" s="2">
        <v>2</v>
      </c>
      <c r="I322" s="2">
        <v>529</v>
      </c>
      <c r="J322" s="2">
        <v>53</v>
      </c>
      <c r="K322" s="21" t="s">
        <v>97</v>
      </c>
      <c r="L322" s="21" t="s">
        <v>7</v>
      </c>
      <c r="M322" s="21" t="s">
        <v>8</v>
      </c>
      <c r="N322" s="3">
        <v>44635</v>
      </c>
      <c r="O322" s="21" t="s">
        <v>58</v>
      </c>
      <c r="P322" s="21" t="s">
        <v>44</v>
      </c>
      <c r="Q322" s="21" t="s">
        <v>59</v>
      </c>
      <c r="R322" s="2">
        <v>260</v>
      </c>
      <c r="S322" s="2">
        <v>1005</v>
      </c>
      <c r="T322" s="2">
        <v>485</v>
      </c>
      <c r="U322" s="4">
        <v>48.258706467661696</v>
      </c>
      <c r="V322" s="21" t="s">
        <v>471</v>
      </c>
      <c r="W322">
        <v>1</v>
      </c>
      <c r="X322">
        <v>52</v>
      </c>
      <c r="Y322" s="20">
        <v>1</v>
      </c>
    </row>
    <row r="323" spans="1:25" x14ac:dyDescent="0.3">
      <c r="A323" s="20" t="s">
        <v>547</v>
      </c>
      <c r="B323" s="21" t="s">
        <v>14</v>
      </c>
      <c r="C323" s="21" t="s">
        <v>603</v>
      </c>
      <c r="D323" s="3">
        <v>45744</v>
      </c>
      <c r="E323" s="21" t="s">
        <v>101</v>
      </c>
      <c r="F323" s="21" t="s">
        <v>170</v>
      </c>
      <c r="G323" s="21" t="s">
        <v>63</v>
      </c>
      <c r="H323" s="2">
        <v>3</v>
      </c>
      <c r="I323" s="2">
        <v>29</v>
      </c>
      <c r="J323" s="2">
        <v>0</v>
      </c>
      <c r="K323" s="21" t="s">
        <v>97</v>
      </c>
      <c r="L323" s="21" t="s">
        <v>265</v>
      </c>
      <c r="M323" s="21" t="s">
        <v>101</v>
      </c>
      <c r="N323" s="3"/>
      <c r="O323" s="21" t="s">
        <v>64</v>
      </c>
      <c r="P323" s="21" t="s">
        <v>52</v>
      </c>
      <c r="Q323" s="21" t="s">
        <v>62</v>
      </c>
      <c r="R323" s="2">
        <v>11</v>
      </c>
      <c r="S323" s="2">
        <v>87</v>
      </c>
      <c r="T323" s="2">
        <v>54</v>
      </c>
      <c r="U323" s="4">
        <v>62.068965517241381</v>
      </c>
      <c r="V323" s="21" t="s">
        <v>471</v>
      </c>
      <c r="W323">
        <v>1</v>
      </c>
      <c r="X323"/>
      <c r="Y323" s="20"/>
    </row>
    <row r="324" spans="1:25" x14ac:dyDescent="0.3">
      <c r="A324" s="20" t="s">
        <v>547</v>
      </c>
      <c r="B324" s="21" t="s">
        <v>14</v>
      </c>
      <c r="C324" s="21" t="s">
        <v>604</v>
      </c>
      <c r="D324" s="3">
        <v>45744</v>
      </c>
      <c r="E324" s="21" t="s">
        <v>31</v>
      </c>
      <c r="F324" s="21" t="s">
        <v>32</v>
      </c>
      <c r="G324" s="21" t="s">
        <v>46</v>
      </c>
      <c r="H324" s="2">
        <v>2</v>
      </c>
      <c r="I324" s="2">
        <v>199</v>
      </c>
      <c r="J324" s="2">
        <v>20</v>
      </c>
      <c r="K324" s="21" t="s">
        <v>97</v>
      </c>
      <c r="L324" s="21" t="s">
        <v>20</v>
      </c>
      <c r="M324" s="21" t="s">
        <v>30</v>
      </c>
      <c r="N324" s="3">
        <v>45263</v>
      </c>
      <c r="O324" s="21" t="s">
        <v>47</v>
      </c>
      <c r="P324" s="21" t="s">
        <v>48</v>
      </c>
      <c r="Q324" s="21" t="s">
        <v>49</v>
      </c>
      <c r="R324" s="2">
        <v>95</v>
      </c>
      <c r="S324" s="2">
        <v>378</v>
      </c>
      <c r="T324" s="2">
        <v>188</v>
      </c>
      <c r="U324" s="4">
        <v>49.735449735449734</v>
      </c>
      <c r="V324" s="21" t="s">
        <v>471</v>
      </c>
      <c r="W324">
        <v>1</v>
      </c>
      <c r="X324">
        <v>20</v>
      </c>
      <c r="Y324" s="20">
        <v>1</v>
      </c>
    </row>
    <row r="325" spans="1:25" x14ac:dyDescent="0.3">
      <c r="A325" s="20" t="s">
        <v>547</v>
      </c>
      <c r="B325" s="21" t="s">
        <v>14</v>
      </c>
      <c r="C325" s="21" t="s">
        <v>605</v>
      </c>
      <c r="D325" s="3">
        <v>45745</v>
      </c>
      <c r="E325" s="21" t="s">
        <v>553</v>
      </c>
      <c r="F325" s="21" t="s">
        <v>554</v>
      </c>
      <c r="G325" s="21" t="s">
        <v>75</v>
      </c>
      <c r="H325" s="2">
        <v>1</v>
      </c>
      <c r="I325" s="2">
        <v>599</v>
      </c>
      <c r="J325" s="2">
        <v>59.9</v>
      </c>
      <c r="K325" s="21" t="s">
        <v>97</v>
      </c>
      <c r="L325" s="21" t="s">
        <v>20</v>
      </c>
      <c r="M325" s="21" t="s">
        <v>30</v>
      </c>
      <c r="N325" s="3">
        <v>45714</v>
      </c>
      <c r="O325" s="21" t="s">
        <v>76</v>
      </c>
      <c r="P325" s="21" t="s">
        <v>44</v>
      </c>
      <c r="Q325" s="21" t="s">
        <v>59</v>
      </c>
      <c r="R325" s="2">
        <v>350</v>
      </c>
      <c r="S325" s="2">
        <v>539.1</v>
      </c>
      <c r="T325" s="2">
        <v>189.10000000000002</v>
      </c>
      <c r="U325" s="4">
        <v>35.076980152105364</v>
      </c>
      <c r="V325" s="21" t="s">
        <v>471</v>
      </c>
      <c r="W325">
        <v>1</v>
      </c>
      <c r="X325">
        <v>7</v>
      </c>
      <c r="Y325" s="20">
        <v>1</v>
      </c>
    </row>
    <row r="326" spans="1:25" x14ac:dyDescent="0.3">
      <c r="A326" s="20" t="s">
        <v>547</v>
      </c>
      <c r="B326" s="21" t="s">
        <v>14</v>
      </c>
      <c r="C326" s="21" t="s">
        <v>606</v>
      </c>
      <c r="D326" s="3">
        <v>45745</v>
      </c>
      <c r="E326" s="21" t="s">
        <v>21</v>
      </c>
      <c r="F326" s="21" t="s">
        <v>22</v>
      </c>
      <c r="G326" s="21" t="s">
        <v>68</v>
      </c>
      <c r="H326" s="2">
        <v>1</v>
      </c>
      <c r="I326" s="2">
        <v>229</v>
      </c>
      <c r="J326" s="2">
        <v>22.9</v>
      </c>
      <c r="K326" s="21" t="s">
        <v>97</v>
      </c>
      <c r="L326" s="21" t="s">
        <v>7</v>
      </c>
      <c r="M326" s="21" t="s">
        <v>8</v>
      </c>
      <c r="N326" s="3">
        <v>44948</v>
      </c>
      <c r="O326" s="21" t="s">
        <v>69</v>
      </c>
      <c r="P326" s="21" t="s">
        <v>44</v>
      </c>
      <c r="Q326" s="21" t="s">
        <v>70</v>
      </c>
      <c r="R326" s="2">
        <v>110</v>
      </c>
      <c r="S326" s="2">
        <v>206.1</v>
      </c>
      <c r="T326" s="2">
        <v>96.1</v>
      </c>
      <c r="U326" s="4">
        <v>46.62785055798156</v>
      </c>
      <c r="V326" s="21" t="s">
        <v>471</v>
      </c>
      <c r="W326">
        <v>1</v>
      </c>
      <c r="X326">
        <v>32</v>
      </c>
      <c r="Y326" s="20">
        <v>1</v>
      </c>
    </row>
    <row r="327" spans="1:25" x14ac:dyDescent="0.3">
      <c r="A327" s="20" t="s">
        <v>547</v>
      </c>
      <c r="B327" s="21" t="s">
        <v>14</v>
      </c>
      <c r="C327" s="21" t="s">
        <v>607</v>
      </c>
      <c r="D327" s="3">
        <v>45746</v>
      </c>
      <c r="E327" s="21" t="s">
        <v>25</v>
      </c>
      <c r="F327" s="21" t="s">
        <v>26</v>
      </c>
      <c r="G327" s="21" t="s">
        <v>71</v>
      </c>
      <c r="H327" s="2">
        <v>1</v>
      </c>
      <c r="I327" s="2">
        <v>459</v>
      </c>
      <c r="J327" s="2">
        <v>46</v>
      </c>
      <c r="K327" s="21" t="s">
        <v>97</v>
      </c>
      <c r="L327" s="21" t="s">
        <v>27</v>
      </c>
      <c r="M327" s="21" t="s">
        <v>13</v>
      </c>
      <c r="N327" s="3">
        <v>45168</v>
      </c>
      <c r="O327" s="21" t="s">
        <v>72</v>
      </c>
      <c r="P327" s="21" t="s">
        <v>48</v>
      </c>
      <c r="Q327" s="21" t="s">
        <v>49</v>
      </c>
      <c r="R327" s="2">
        <v>210</v>
      </c>
      <c r="S327" s="2">
        <v>413</v>
      </c>
      <c r="T327" s="2">
        <v>203</v>
      </c>
      <c r="U327" s="4">
        <v>49.152542372881356</v>
      </c>
      <c r="V327" s="21" t="s">
        <v>471</v>
      </c>
      <c r="W327">
        <v>1</v>
      </c>
      <c r="X327">
        <v>46</v>
      </c>
      <c r="Y327" s="20">
        <v>1</v>
      </c>
    </row>
    <row r="328" spans="1:25" x14ac:dyDescent="0.3">
      <c r="A328" s="20" t="s">
        <v>547</v>
      </c>
      <c r="B328" s="21" t="s">
        <v>14</v>
      </c>
      <c r="C328" s="21" t="s">
        <v>608</v>
      </c>
      <c r="D328" s="3">
        <v>45746</v>
      </c>
      <c r="E328" s="21" t="s">
        <v>101</v>
      </c>
      <c r="F328" s="21" t="s">
        <v>170</v>
      </c>
      <c r="G328" s="21" t="s">
        <v>81</v>
      </c>
      <c r="H328" s="2">
        <v>2</v>
      </c>
      <c r="I328" s="2">
        <v>89</v>
      </c>
      <c r="J328" s="2">
        <v>0</v>
      </c>
      <c r="K328" s="21" t="s">
        <v>97</v>
      </c>
      <c r="L328" s="21" t="s">
        <v>265</v>
      </c>
      <c r="M328" s="21" t="s">
        <v>101</v>
      </c>
      <c r="N328" s="3"/>
      <c r="O328" s="21" t="s">
        <v>82</v>
      </c>
      <c r="P328" s="21" t="s">
        <v>52</v>
      </c>
      <c r="Q328" s="21" t="s">
        <v>83</v>
      </c>
      <c r="R328" s="2">
        <v>42</v>
      </c>
      <c r="S328" s="2">
        <v>178</v>
      </c>
      <c r="T328" s="2">
        <v>94</v>
      </c>
      <c r="U328" s="4">
        <v>52.80898876404494</v>
      </c>
      <c r="V328" s="21" t="s">
        <v>471</v>
      </c>
      <c r="W328">
        <v>1</v>
      </c>
      <c r="X328"/>
      <c r="Y328" s="20"/>
    </row>
    <row r="329" spans="1:25" x14ac:dyDescent="0.3">
      <c r="A329" s="20" t="s">
        <v>547</v>
      </c>
      <c r="B329" s="21" t="s">
        <v>14</v>
      </c>
      <c r="C329" s="21" t="s">
        <v>609</v>
      </c>
      <c r="D329" s="3">
        <v>45747</v>
      </c>
      <c r="E329" s="21" t="s">
        <v>10</v>
      </c>
      <c r="F329" s="21" t="s">
        <v>11</v>
      </c>
      <c r="G329" s="21" t="s">
        <v>84</v>
      </c>
      <c r="H329" s="2">
        <v>1</v>
      </c>
      <c r="I329" s="2">
        <v>2199</v>
      </c>
      <c r="J329" s="2">
        <v>220</v>
      </c>
      <c r="K329" s="21" t="s">
        <v>97</v>
      </c>
      <c r="L329" s="21" t="s">
        <v>12</v>
      </c>
      <c r="M329" s="21" t="s">
        <v>13</v>
      </c>
      <c r="N329" s="3">
        <v>44744</v>
      </c>
      <c r="O329" s="21" t="s">
        <v>85</v>
      </c>
      <c r="P329" s="21" t="s">
        <v>44</v>
      </c>
      <c r="Q329" s="21" t="s">
        <v>56</v>
      </c>
      <c r="R329" s="2">
        <v>1380</v>
      </c>
      <c r="S329" s="2">
        <v>1979</v>
      </c>
      <c r="T329" s="2">
        <v>599</v>
      </c>
      <c r="U329" s="4">
        <v>30.267812026275898</v>
      </c>
      <c r="V329" s="21" t="s">
        <v>471</v>
      </c>
      <c r="W329">
        <v>1</v>
      </c>
      <c r="X329">
        <v>32</v>
      </c>
      <c r="Y329" s="20">
        <v>1</v>
      </c>
    </row>
    <row r="330" spans="1:25" x14ac:dyDescent="0.3">
      <c r="A330" s="20" t="s">
        <v>547</v>
      </c>
      <c r="B330" s="21" t="s">
        <v>14</v>
      </c>
      <c r="C330" s="21" t="s">
        <v>610</v>
      </c>
      <c r="D330" s="3">
        <v>45747</v>
      </c>
      <c r="E330" s="21" t="s">
        <v>28</v>
      </c>
      <c r="F330" s="21" t="s">
        <v>29</v>
      </c>
      <c r="G330" s="21" t="s">
        <v>42</v>
      </c>
      <c r="H330" s="2">
        <v>2</v>
      </c>
      <c r="I330" s="2">
        <v>349</v>
      </c>
      <c r="J330" s="2">
        <v>34.9</v>
      </c>
      <c r="K330" s="21" t="s">
        <v>97</v>
      </c>
      <c r="L330" s="21" t="s">
        <v>7</v>
      </c>
      <c r="M330" s="21" t="s">
        <v>30</v>
      </c>
      <c r="N330" s="3">
        <v>45211</v>
      </c>
      <c r="O330" s="21" t="s">
        <v>43</v>
      </c>
      <c r="P330" s="21" t="s">
        <v>44</v>
      </c>
      <c r="Q330" s="21" t="s">
        <v>45</v>
      </c>
      <c r="R330" s="2">
        <v>165</v>
      </c>
      <c r="S330" s="2">
        <v>663.1</v>
      </c>
      <c r="T330" s="2">
        <v>333.1</v>
      </c>
      <c r="U330" s="4">
        <v>50.233750565525561</v>
      </c>
      <c r="V330" s="21" t="s">
        <v>471</v>
      </c>
      <c r="W330">
        <v>1</v>
      </c>
      <c r="X330">
        <v>19</v>
      </c>
      <c r="Y330" s="20">
        <v>1</v>
      </c>
    </row>
    <row r="331" spans="1:25" x14ac:dyDescent="0.3">
      <c r="A331" s="20" t="s">
        <v>411</v>
      </c>
      <c r="B331" s="21" t="s">
        <v>17</v>
      </c>
      <c r="C331" s="21" t="s">
        <v>412</v>
      </c>
      <c r="D331" s="3">
        <v>45689</v>
      </c>
      <c r="E331" s="21" t="s">
        <v>25</v>
      </c>
      <c r="F331" s="21" t="s">
        <v>26</v>
      </c>
      <c r="G331" s="21" t="s">
        <v>42</v>
      </c>
      <c r="H331" s="2">
        <v>2</v>
      </c>
      <c r="I331" s="2">
        <v>349</v>
      </c>
      <c r="J331" s="2">
        <v>34.9</v>
      </c>
      <c r="K331" s="21" t="s">
        <v>97</v>
      </c>
      <c r="L331" s="21" t="s">
        <v>27</v>
      </c>
      <c r="M331" s="21" t="s">
        <v>13</v>
      </c>
      <c r="N331" s="3">
        <v>45168</v>
      </c>
      <c r="O331" s="21" t="s">
        <v>43</v>
      </c>
      <c r="P331" s="21" t="s">
        <v>44</v>
      </c>
      <c r="Q331" s="21" t="s">
        <v>45</v>
      </c>
      <c r="R331" s="2">
        <v>165</v>
      </c>
      <c r="S331" s="2">
        <v>663.1</v>
      </c>
      <c r="T331" s="2">
        <v>333.1</v>
      </c>
      <c r="U331" s="4">
        <v>50.233750565525561</v>
      </c>
      <c r="V331" s="21" t="s">
        <v>281</v>
      </c>
      <c r="W331">
        <v>1</v>
      </c>
      <c r="X331">
        <v>46</v>
      </c>
      <c r="Y331" s="20">
        <v>1</v>
      </c>
    </row>
    <row r="332" spans="1:25" x14ac:dyDescent="0.3">
      <c r="A332" s="20" t="s">
        <v>411</v>
      </c>
      <c r="B332" s="21" t="s">
        <v>17</v>
      </c>
      <c r="C332" s="21" t="s">
        <v>413</v>
      </c>
      <c r="D332" s="3">
        <v>45693</v>
      </c>
      <c r="E332" s="21" t="s">
        <v>25</v>
      </c>
      <c r="F332" s="21" t="s">
        <v>26</v>
      </c>
      <c r="G332" s="21" t="s">
        <v>71</v>
      </c>
      <c r="H332" s="2">
        <v>1</v>
      </c>
      <c r="I332" s="2">
        <v>459</v>
      </c>
      <c r="J332" s="2">
        <v>46</v>
      </c>
      <c r="K332" s="21" t="s">
        <v>97</v>
      </c>
      <c r="L332" s="21" t="s">
        <v>27</v>
      </c>
      <c r="M332" s="21" t="s">
        <v>13</v>
      </c>
      <c r="N332" s="3">
        <v>45168</v>
      </c>
      <c r="O332" s="21" t="s">
        <v>72</v>
      </c>
      <c r="P332" s="21" t="s">
        <v>48</v>
      </c>
      <c r="Q332" s="21" t="s">
        <v>49</v>
      </c>
      <c r="R332" s="2">
        <v>210</v>
      </c>
      <c r="S332" s="2">
        <v>413</v>
      </c>
      <c r="T332" s="2">
        <v>203</v>
      </c>
      <c r="U332" s="4">
        <v>49.152542372881356</v>
      </c>
      <c r="V332" s="21" t="s">
        <v>281</v>
      </c>
      <c r="W332">
        <v>1</v>
      </c>
      <c r="X332">
        <v>46</v>
      </c>
      <c r="Y332" s="20">
        <v>1</v>
      </c>
    </row>
    <row r="333" spans="1:25" x14ac:dyDescent="0.3">
      <c r="A333" s="20" t="s">
        <v>411</v>
      </c>
      <c r="B333" s="21" t="s">
        <v>17</v>
      </c>
      <c r="C333" s="21" t="s">
        <v>432</v>
      </c>
      <c r="D333" s="3">
        <v>45698</v>
      </c>
      <c r="E333" s="21" t="s">
        <v>25</v>
      </c>
      <c r="F333" s="21" t="s">
        <v>26</v>
      </c>
      <c r="G333" s="21" t="s">
        <v>54</v>
      </c>
      <c r="H333" s="2">
        <v>1</v>
      </c>
      <c r="I333" s="2">
        <v>1299</v>
      </c>
      <c r="J333" s="2">
        <v>0</v>
      </c>
      <c r="K333" s="21" t="s">
        <v>97</v>
      </c>
      <c r="L333" s="21" t="s">
        <v>27</v>
      </c>
      <c r="M333" s="21" t="s">
        <v>13</v>
      </c>
      <c r="N333" s="3">
        <v>45168</v>
      </c>
      <c r="O333" s="21" t="s">
        <v>55</v>
      </c>
      <c r="P333" s="21" t="s">
        <v>44</v>
      </c>
      <c r="Q333" s="21" t="s">
        <v>56</v>
      </c>
      <c r="R333" s="2">
        <v>820</v>
      </c>
      <c r="S333" s="2">
        <v>1299</v>
      </c>
      <c r="T333" s="2">
        <v>479</v>
      </c>
      <c r="U333" s="4">
        <v>36.87451886066205</v>
      </c>
      <c r="V333" s="21" t="s">
        <v>281</v>
      </c>
      <c r="W333">
        <v>1</v>
      </c>
      <c r="X333">
        <v>46</v>
      </c>
      <c r="Y333" s="20">
        <v>1</v>
      </c>
    </row>
    <row r="334" spans="1:25" x14ac:dyDescent="0.3">
      <c r="A334" s="20" t="s">
        <v>411</v>
      </c>
      <c r="B334" s="21" t="s">
        <v>17</v>
      </c>
      <c r="C334" s="21" t="s">
        <v>414</v>
      </c>
      <c r="D334" s="3">
        <v>45694</v>
      </c>
      <c r="E334" s="21" t="s">
        <v>5</v>
      </c>
      <c r="F334" s="21" t="s">
        <v>6</v>
      </c>
      <c r="G334" s="21" t="s">
        <v>75</v>
      </c>
      <c r="H334" s="2">
        <v>1</v>
      </c>
      <c r="I334" s="2">
        <v>599</v>
      </c>
      <c r="J334" s="2">
        <v>60</v>
      </c>
      <c r="K334" s="21" t="s">
        <v>97</v>
      </c>
      <c r="L334" s="21" t="s">
        <v>7</v>
      </c>
      <c r="M334" s="21" t="s">
        <v>8</v>
      </c>
      <c r="N334" s="3">
        <v>44635</v>
      </c>
      <c r="O334" s="21" t="s">
        <v>76</v>
      </c>
      <c r="P334" s="21" t="s">
        <v>44</v>
      </c>
      <c r="Q334" s="21" t="s">
        <v>59</v>
      </c>
      <c r="R334" s="2">
        <v>350</v>
      </c>
      <c r="S334" s="2">
        <v>539</v>
      </c>
      <c r="T334" s="2">
        <v>189</v>
      </c>
      <c r="U334" s="4">
        <v>35.064935064935064</v>
      </c>
      <c r="V334" s="21" t="s">
        <v>281</v>
      </c>
      <c r="W334">
        <v>1</v>
      </c>
      <c r="X334">
        <v>52</v>
      </c>
      <c r="Y334" s="20">
        <v>1</v>
      </c>
    </row>
    <row r="335" spans="1:25" x14ac:dyDescent="0.3">
      <c r="A335" s="20" t="s">
        <v>411</v>
      </c>
      <c r="B335" s="21" t="s">
        <v>17</v>
      </c>
      <c r="C335" s="21" t="s">
        <v>433</v>
      </c>
      <c r="D335" s="3">
        <v>45698</v>
      </c>
      <c r="E335" s="21" t="s">
        <v>5</v>
      </c>
      <c r="F335" s="21" t="s">
        <v>6</v>
      </c>
      <c r="G335" s="21" t="s">
        <v>57</v>
      </c>
      <c r="H335" s="2">
        <v>1</v>
      </c>
      <c r="I335" s="2">
        <v>529</v>
      </c>
      <c r="J335" s="2">
        <v>52.9</v>
      </c>
      <c r="K335" s="21" t="s">
        <v>97</v>
      </c>
      <c r="L335" s="21" t="s">
        <v>7</v>
      </c>
      <c r="M335" s="21" t="s">
        <v>8</v>
      </c>
      <c r="N335" s="3">
        <v>44635</v>
      </c>
      <c r="O335" s="21" t="s">
        <v>58</v>
      </c>
      <c r="P335" s="21" t="s">
        <v>44</v>
      </c>
      <c r="Q335" s="21" t="s">
        <v>59</v>
      </c>
      <c r="R335" s="2">
        <v>260</v>
      </c>
      <c r="S335" s="2">
        <v>476.1</v>
      </c>
      <c r="T335" s="2">
        <v>216.10000000000002</v>
      </c>
      <c r="U335" s="4">
        <v>45.389624028565429</v>
      </c>
      <c r="V335" s="21" t="s">
        <v>281</v>
      </c>
      <c r="W335">
        <v>1</v>
      </c>
      <c r="X335">
        <v>52</v>
      </c>
      <c r="Y335" s="20">
        <v>1</v>
      </c>
    </row>
    <row r="336" spans="1:25" x14ac:dyDescent="0.3">
      <c r="A336" s="20" t="s">
        <v>411</v>
      </c>
      <c r="B336" s="21" t="s">
        <v>17</v>
      </c>
      <c r="C336" s="21" t="s">
        <v>415</v>
      </c>
      <c r="D336" s="3">
        <v>45695</v>
      </c>
      <c r="E336" s="21" t="s">
        <v>416</v>
      </c>
      <c r="F336" s="21" t="s">
        <v>417</v>
      </c>
      <c r="G336" s="21" t="s">
        <v>42</v>
      </c>
      <c r="H336" s="2">
        <v>2</v>
      </c>
      <c r="I336" s="2">
        <v>349</v>
      </c>
      <c r="J336" s="2">
        <v>0</v>
      </c>
      <c r="K336" s="21" t="s">
        <v>97</v>
      </c>
      <c r="L336" s="21" t="s">
        <v>7</v>
      </c>
      <c r="M336" s="21" t="s">
        <v>30</v>
      </c>
      <c r="N336" s="3">
        <v>45689</v>
      </c>
      <c r="O336" s="21" t="s">
        <v>43</v>
      </c>
      <c r="P336" s="21" t="s">
        <v>44</v>
      </c>
      <c r="Q336" s="21" t="s">
        <v>45</v>
      </c>
      <c r="R336" s="2">
        <v>165</v>
      </c>
      <c r="S336" s="2">
        <v>698</v>
      </c>
      <c r="T336" s="2">
        <v>368</v>
      </c>
      <c r="U336" s="4">
        <v>52.722063037249278</v>
      </c>
      <c r="V336" s="21" t="s">
        <v>281</v>
      </c>
      <c r="W336">
        <v>1</v>
      </c>
      <c r="X336">
        <v>7</v>
      </c>
      <c r="Y336" s="20">
        <v>1</v>
      </c>
    </row>
    <row r="337" spans="1:25" x14ac:dyDescent="0.3">
      <c r="A337" s="20" t="s">
        <v>411</v>
      </c>
      <c r="B337" s="21" t="s">
        <v>17</v>
      </c>
      <c r="C337" s="21" t="s">
        <v>418</v>
      </c>
      <c r="D337" s="3">
        <v>45690</v>
      </c>
      <c r="E337" s="21" t="s">
        <v>416</v>
      </c>
      <c r="F337" s="21" t="s">
        <v>417</v>
      </c>
      <c r="G337" s="21" t="s">
        <v>54</v>
      </c>
      <c r="H337" s="2">
        <v>1</v>
      </c>
      <c r="I337" s="2">
        <v>1299</v>
      </c>
      <c r="J337" s="2">
        <v>130</v>
      </c>
      <c r="K337" s="21" t="s">
        <v>97</v>
      </c>
      <c r="L337" s="21" t="s">
        <v>7</v>
      </c>
      <c r="M337" s="21" t="s">
        <v>30</v>
      </c>
      <c r="N337" s="3">
        <v>45689</v>
      </c>
      <c r="O337" s="21" t="s">
        <v>55</v>
      </c>
      <c r="P337" s="21" t="s">
        <v>44</v>
      </c>
      <c r="Q337" s="21" t="s">
        <v>56</v>
      </c>
      <c r="R337" s="2">
        <v>820</v>
      </c>
      <c r="S337" s="2">
        <v>1169</v>
      </c>
      <c r="T337" s="2">
        <v>349</v>
      </c>
      <c r="U337" s="4">
        <v>29.854576561163388</v>
      </c>
      <c r="V337" s="21" t="s">
        <v>281</v>
      </c>
      <c r="W337">
        <v>1</v>
      </c>
      <c r="X337">
        <v>7</v>
      </c>
      <c r="Y337" s="20">
        <v>1</v>
      </c>
    </row>
    <row r="338" spans="1:25" x14ac:dyDescent="0.3">
      <c r="A338" s="20" t="s">
        <v>411</v>
      </c>
      <c r="B338" s="21" t="s">
        <v>17</v>
      </c>
      <c r="C338" s="21" t="s">
        <v>419</v>
      </c>
      <c r="D338" s="3">
        <v>45692</v>
      </c>
      <c r="E338" s="21" t="s">
        <v>416</v>
      </c>
      <c r="F338" s="21" t="s">
        <v>417</v>
      </c>
      <c r="G338" s="21" t="s">
        <v>65</v>
      </c>
      <c r="H338" s="2">
        <v>1</v>
      </c>
      <c r="I338" s="2">
        <v>749</v>
      </c>
      <c r="J338" s="2">
        <v>75</v>
      </c>
      <c r="K338" s="21" t="s">
        <v>97</v>
      </c>
      <c r="L338" s="21" t="s">
        <v>7</v>
      </c>
      <c r="M338" s="21" t="s">
        <v>30</v>
      </c>
      <c r="N338" s="3">
        <v>45689</v>
      </c>
      <c r="O338" s="21" t="s">
        <v>66</v>
      </c>
      <c r="P338" s="21" t="s">
        <v>44</v>
      </c>
      <c r="Q338" s="21" t="s">
        <v>67</v>
      </c>
      <c r="R338" s="2">
        <v>490</v>
      </c>
      <c r="S338" s="2">
        <v>674</v>
      </c>
      <c r="T338" s="2">
        <v>184</v>
      </c>
      <c r="U338" s="4">
        <v>27.299703264094955</v>
      </c>
      <c r="V338" s="21" t="s">
        <v>281</v>
      </c>
      <c r="W338">
        <v>1</v>
      </c>
      <c r="X338">
        <v>7</v>
      </c>
      <c r="Y338" s="20">
        <v>1</v>
      </c>
    </row>
    <row r="339" spans="1:25" x14ac:dyDescent="0.3">
      <c r="A339" s="20" t="s">
        <v>411</v>
      </c>
      <c r="B339" s="21" t="s">
        <v>17</v>
      </c>
      <c r="C339" s="21" t="s">
        <v>422</v>
      </c>
      <c r="D339" s="3">
        <v>45697</v>
      </c>
      <c r="E339" s="21" t="s">
        <v>35</v>
      </c>
      <c r="F339" s="21" t="s">
        <v>36</v>
      </c>
      <c r="G339" s="21" t="s">
        <v>46</v>
      </c>
      <c r="H339" s="2">
        <v>3</v>
      </c>
      <c r="I339" s="2">
        <v>199</v>
      </c>
      <c r="J339" s="2">
        <v>30</v>
      </c>
      <c r="K339" s="21" t="s">
        <v>97</v>
      </c>
      <c r="L339" s="21" t="s">
        <v>7</v>
      </c>
      <c r="M339" s="21" t="s">
        <v>30</v>
      </c>
      <c r="N339" s="3">
        <v>45665</v>
      </c>
      <c r="O339" s="21" t="s">
        <v>47</v>
      </c>
      <c r="P339" s="21" t="s">
        <v>48</v>
      </c>
      <c r="Q339" s="21" t="s">
        <v>49</v>
      </c>
      <c r="R339" s="2">
        <v>95</v>
      </c>
      <c r="S339" s="2">
        <v>567</v>
      </c>
      <c r="T339" s="2">
        <v>282</v>
      </c>
      <c r="U339" s="4">
        <v>49.735449735449734</v>
      </c>
      <c r="V339" s="21" t="s">
        <v>281</v>
      </c>
      <c r="W339">
        <v>1</v>
      </c>
      <c r="X339">
        <v>20</v>
      </c>
      <c r="Y339" s="20">
        <v>1</v>
      </c>
    </row>
    <row r="340" spans="1:25" x14ac:dyDescent="0.3">
      <c r="A340" s="20" t="s">
        <v>411</v>
      </c>
      <c r="B340" s="21" t="s">
        <v>17</v>
      </c>
      <c r="C340" s="21" t="s">
        <v>423</v>
      </c>
      <c r="D340" s="3">
        <v>45689</v>
      </c>
      <c r="E340" s="21" t="s">
        <v>35</v>
      </c>
      <c r="F340" s="21" t="s">
        <v>36</v>
      </c>
      <c r="G340" s="21" t="s">
        <v>60</v>
      </c>
      <c r="H340" s="2">
        <v>1</v>
      </c>
      <c r="I340" s="2">
        <v>899</v>
      </c>
      <c r="J340" s="2">
        <v>90</v>
      </c>
      <c r="K340" s="21" t="s">
        <v>97</v>
      </c>
      <c r="L340" s="21" t="s">
        <v>7</v>
      </c>
      <c r="M340" s="21" t="s">
        <v>30</v>
      </c>
      <c r="N340" s="3">
        <v>45665</v>
      </c>
      <c r="O340" s="21" t="s">
        <v>61</v>
      </c>
      <c r="P340" s="21" t="s">
        <v>48</v>
      </c>
      <c r="Q340" s="21" t="s">
        <v>62</v>
      </c>
      <c r="R340" s="2">
        <v>520</v>
      </c>
      <c r="S340" s="2">
        <v>809</v>
      </c>
      <c r="T340" s="2">
        <v>289</v>
      </c>
      <c r="U340" s="4">
        <v>35.723114956736715</v>
      </c>
      <c r="V340" s="21" t="s">
        <v>281</v>
      </c>
      <c r="W340">
        <v>1</v>
      </c>
      <c r="X340">
        <v>20</v>
      </c>
      <c r="Y340" s="20">
        <v>1</v>
      </c>
    </row>
    <row r="341" spans="1:25" x14ac:dyDescent="0.3">
      <c r="A341" s="20" t="s">
        <v>411</v>
      </c>
      <c r="B341" s="21" t="s">
        <v>17</v>
      </c>
      <c r="C341" s="21" t="s">
        <v>424</v>
      </c>
      <c r="D341" s="3">
        <v>45693</v>
      </c>
      <c r="E341" s="21" t="s">
        <v>35</v>
      </c>
      <c r="F341" s="21" t="s">
        <v>36</v>
      </c>
      <c r="G341" s="21" t="s">
        <v>68</v>
      </c>
      <c r="H341" s="2">
        <v>2</v>
      </c>
      <c r="I341" s="2">
        <v>229</v>
      </c>
      <c r="J341" s="2">
        <v>22.9</v>
      </c>
      <c r="K341" s="21" t="s">
        <v>97</v>
      </c>
      <c r="L341" s="21" t="s">
        <v>7</v>
      </c>
      <c r="M341" s="21" t="s">
        <v>30</v>
      </c>
      <c r="N341" s="3">
        <v>45665</v>
      </c>
      <c r="O341" s="21" t="s">
        <v>69</v>
      </c>
      <c r="P341" s="21" t="s">
        <v>44</v>
      </c>
      <c r="Q341" s="21" t="s">
        <v>70</v>
      </c>
      <c r="R341" s="2">
        <v>110</v>
      </c>
      <c r="S341" s="2">
        <v>435.1</v>
      </c>
      <c r="T341" s="2">
        <v>215.10000000000002</v>
      </c>
      <c r="U341" s="4">
        <v>49.436911054929908</v>
      </c>
      <c r="V341" s="21" t="s">
        <v>281</v>
      </c>
      <c r="W341">
        <v>1</v>
      </c>
      <c r="X341">
        <v>20</v>
      </c>
      <c r="Y341" s="20">
        <v>1</v>
      </c>
    </row>
    <row r="342" spans="1:25" x14ac:dyDescent="0.3">
      <c r="A342" s="20" t="s">
        <v>411</v>
      </c>
      <c r="B342" s="21" t="s">
        <v>17</v>
      </c>
      <c r="C342" s="21" t="s">
        <v>425</v>
      </c>
      <c r="D342" s="3">
        <v>45691</v>
      </c>
      <c r="E342" s="21" t="s">
        <v>15</v>
      </c>
      <c r="F342" s="21" t="s">
        <v>16</v>
      </c>
      <c r="G342" s="21" t="s">
        <v>57</v>
      </c>
      <c r="H342" s="2">
        <v>2</v>
      </c>
      <c r="I342" s="2">
        <v>529</v>
      </c>
      <c r="J342" s="2">
        <v>53</v>
      </c>
      <c r="K342" s="21" t="s">
        <v>97</v>
      </c>
      <c r="L342" s="21" t="s">
        <v>7</v>
      </c>
      <c r="M342" s="21" t="s">
        <v>13</v>
      </c>
      <c r="N342" s="3">
        <v>44883</v>
      </c>
      <c r="O342" s="21" t="s">
        <v>58</v>
      </c>
      <c r="P342" s="21" t="s">
        <v>44</v>
      </c>
      <c r="Q342" s="21" t="s">
        <v>59</v>
      </c>
      <c r="R342" s="2">
        <v>260</v>
      </c>
      <c r="S342" s="2">
        <v>1005</v>
      </c>
      <c r="T342" s="2">
        <v>485</v>
      </c>
      <c r="U342" s="4">
        <v>48.258706467661696</v>
      </c>
      <c r="V342" s="21" t="s">
        <v>281</v>
      </c>
      <c r="W342">
        <v>1</v>
      </c>
      <c r="X342">
        <v>32</v>
      </c>
      <c r="Y342" s="20">
        <v>1</v>
      </c>
    </row>
    <row r="343" spans="1:25" x14ac:dyDescent="0.3">
      <c r="A343" s="20" t="s">
        <v>411</v>
      </c>
      <c r="B343" s="21" t="s">
        <v>17</v>
      </c>
      <c r="C343" s="21" t="s">
        <v>426</v>
      </c>
      <c r="D343" s="3">
        <v>45695</v>
      </c>
      <c r="E343" s="21" t="s">
        <v>15</v>
      </c>
      <c r="F343" s="21" t="s">
        <v>16</v>
      </c>
      <c r="G343" s="21" t="s">
        <v>77</v>
      </c>
      <c r="H343" s="2">
        <v>1</v>
      </c>
      <c r="I343" s="2">
        <v>1099</v>
      </c>
      <c r="J343" s="2">
        <v>110</v>
      </c>
      <c r="K343" s="21" t="s">
        <v>97</v>
      </c>
      <c r="L343" s="21" t="s">
        <v>7</v>
      </c>
      <c r="M343" s="21" t="s">
        <v>13</v>
      </c>
      <c r="N343" s="3">
        <v>44883</v>
      </c>
      <c r="O343" s="21" t="s">
        <v>78</v>
      </c>
      <c r="P343" s="21" t="s">
        <v>48</v>
      </c>
      <c r="Q343" s="21" t="s">
        <v>62</v>
      </c>
      <c r="R343" s="2">
        <v>650</v>
      </c>
      <c r="S343" s="2">
        <v>989</v>
      </c>
      <c r="T343" s="2">
        <v>339</v>
      </c>
      <c r="U343" s="4">
        <v>34.277047522750252</v>
      </c>
      <c r="V343" s="21" t="s">
        <v>281</v>
      </c>
      <c r="W343">
        <v>1</v>
      </c>
      <c r="X343">
        <v>32</v>
      </c>
      <c r="Y343" s="20">
        <v>1</v>
      </c>
    </row>
    <row r="344" spans="1:25" x14ac:dyDescent="0.3">
      <c r="A344" s="20" t="s">
        <v>411</v>
      </c>
      <c r="B344" s="21" t="s">
        <v>17</v>
      </c>
      <c r="C344" s="21" t="s">
        <v>427</v>
      </c>
      <c r="D344" s="3">
        <v>45690</v>
      </c>
      <c r="E344" s="21" t="s">
        <v>101</v>
      </c>
      <c r="F344" s="21" t="s">
        <v>220</v>
      </c>
      <c r="G344" s="21" t="s">
        <v>50</v>
      </c>
      <c r="H344" s="2">
        <v>3</v>
      </c>
      <c r="I344" s="2">
        <v>45</v>
      </c>
      <c r="J344" s="2">
        <v>0</v>
      </c>
      <c r="K344" s="21" t="s">
        <v>97</v>
      </c>
      <c r="L344" s="21" t="s">
        <v>265</v>
      </c>
      <c r="M344" s="21" t="s">
        <v>101</v>
      </c>
      <c r="N344" s="3"/>
      <c r="O344" s="21" t="s">
        <v>51</v>
      </c>
      <c r="P344" s="21" t="s">
        <v>52</v>
      </c>
      <c r="Q344" s="21" t="s">
        <v>53</v>
      </c>
      <c r="R344" s="2">
        <v>18</v>
      </c>
      <c r="S344" s="2">
        <v>135</v>
      </c>
      <c r="T344" s="2">
        <v>81</v>
      </c>
      <c r="U344" s="4">
        <v>60</v>
      </c>
      <c r="V344" s="21" t="s">
        <v>281</v>
      </c>
      <c r="W344">
        <v>1</v>
      </c>
      <c r="X344"/>
      <c r="Y344" s="20"/>
    </row>
    <row r="345" spans="1:25" x14ac:dyDescent="0.3">
      <c r="A345" s="20" t="s">
        <v>411</v>
      </c>
      <c r="B345" s="21" t="s">
        <v>17</v>
      </c>
      <c r="C345" s="21" t="s">
        <v>431</v>
      </c>
      <c r="D345" s="3">
        <v>45697</v>
      </c>
      <c r="E345" s="21" t="s">
        <v>101</v>
      </c>
      <c r="F345" s="21" t="s">
        <v>220</v>
      </c>
      <c r="G345" s="21" t="s">
        <v>50</v>
      </c>
      <c r="H345" s="2">
        <v>2</v>
      </c>
      <c r="I345" s="2">
        <v>45</v>
      </c>
      <c r="J345" s="2">
        <v>0</v>
      </c>
      <c r="K345" s="21" t="s">
        <v>97</v>
      </c>
      <c r="L345" s="21" t="s">
        <v>265</v>
      </c>
      <c r="M345" s="21" t="s">
        <v>101</v>
      </c>
      <c r="N345" s="3"/>
      <c r="O345" s="21" t="s">
        <v>51</v>
      </c>
      <c r="P345" s="21" t="s">
        <v>52</v>
      </c>
      <c r="Q345" s="21" t="s">
        <v>53</v>
      </c>
      <c r="R345" s="2">
        <v>18</v>
      </c>
      <c r="S345" s="2">
        <v>90</v>
      </c>
      <c r="T345" s="2">
        <v>54</v>
      </c>
      <c r="U345" s="4">
        <v>60</v>
      </c>
      <c r="V345" s="21" t="s">
        <v>281</v>
      </c>
      <c r="W345">
        <v>1</v>
      </c>
      <c r="X345"/>
      <c r="Y345" s="20"/>
    </row>
    <row r="346" spans="1:25" x14ac:dyDescent="0.3">
      <c r="A346" s="20" t="s">
        <v>411</v>
      </c>
      <c r="B346" s="21" t="s">
        <v>17</v>
      </c>
      <c r="C346" s="21" t="s">
        <v>428</v>
      </c>
      <c r="D346" s="3">
        <v>45692</v>
      </c>
      <c r="E346" s="21" t="s">
        <v>101</v>
      </c>
      <c r="F346" s="21" t="s">
        <v>220</v>
      </c>
      <c r="G346" s="21" t="s">
        <v>63</v>
      </c>
      <c r="H346" s="2">
        <v>3</v>
      </c>
      <c r="I346" s="2">
        <v>29</v>
      </c>
      <c r="J346" s="2">
        <v>0</v>
      </c>
      <c r="K346" s="21" t="s">
        <v>97</v>
      </c>
      <c r="L346" s="21" t="s">
        <v>265</v>
      </c>
      <c r="M346" s="21" t="s">
        <v>101</v>
      </c>
      <c r="N346" s="3"/>
      <c r="O346" s="21" t="s">
        <v>64</v>
      </c>
      <c r="P346" s="21" t="s">
        <v>52</v>
      </c>
      <c r="Q346" s="21" t="s">
        <v>62</v>
      </c>
      <c r="R346" s="2">
        <v>11</v>
      </c>
      <c r="S346" s="2">
        <v>87</v>
      </c>
      <c r="T346" s="2">
        <v>54</v>
      </c>
      <c r="U346" s="4">
        <v>62.068965517241381</v>
      </c>
      <c r="V346" s="21" t="s">
        <v>281</v>
      </c>
      <c r="W346">
        <v>1</v>
      </c>
      <c r="X346"/>
      <c r="Y346" s="20"/>
    </row>
    <row r="347" spans="1:25" x14ac:dyDescent="0.3">
      <c r="A347" s="20" t="s">
        <v>411</v>
      </c>
      <c r="B347" s="21" t="s">
        <v>17</v>
      </c>
      <c r="C347" s="21" t="s">
        <v>429</v>
      </c>
      <c r="D347" s="3">
        <v>45694</v>
      </c>
      <c r="E347" s="21" t="s">
        <v>101</v>
      </c>
      <c r="F347" s="21" t="s">
        <v>220</v>
      </c>
      <c r="G347" s="21" t="s">
        <v>73</v>
      </c>
      <c r="H347" s="2">
        <v>4</v>
      </c>
      <c r="I347" s="2">
        <v>19</v>
      </c>
      <c r="J347" s="2">
        <v>0</v>
      </c>
      <c r="K347" s="21" t="s">
        <v>97</v>
      </c>
      <c r="L347" s="21" t="s">
        <v>265</v>
      </c>
      <c r="M347" s="21" t="s">
        <v>101</v>
      </c>
      <c r="N347" s="3"/>
      <c r="O347" s="21" t="s">
        <v>74</v>
      </c>
      <c r="P347" s="21" t="s">
        <v>52</v>
      </c>
      <c r="Q347" s="21" t="s">
        <v>62</v>
      </c>
      <c r="R347" s="2">
        <v>8</v>
      </c>
      <c r="S347" s="2">
        <v>76</v>
      </c>
      <c r="T347" s="2">
        <v>44</v>
      </c>
      <c r="U347" s="4">
        <v>57.894736842105267</v>
      </c>
      <c r="V347" s="21" t="s">
        <v>281</v>
      </c>
      <c r="W347">
        <v>1</v>
      </c>
      <c r="X347"/>
      <c r="Y347" s="20"/>
    </row>
    <row r="348" spans="1:25" x14ac:dyDescent="0.3">
      <c r="A348" s="20" t="s">
        <v>411</v>
      </c>
      <c r="B348" s="21" t="s">
        <v>17</v>
      </c>
      <c r="C348" s="21" t="s">
        <v>430</v>
      </c>
      <c r="D348" s="3">
        <v>45696</v>
      </c>
      <c r="E348" s="21" t="s">
        <v>101</v>
      </c>
      <c r="F348" s="21" t="s">
        <v>220</v>
      </c>
      <c r="G348" s="21" t="s">
        <v>81</v>
      </c>
      <c r="H348" s="2">
        <v>2</v>
      </c>
      <c r="I348" s="2">
        <v>89</v>
      </c>
      <c r="J348" s="2">
        <v>8.9</v>
      </c>
      <c r="K348" s="21" t="s">
        <v>97</v>
      </c>
      <c r="L348" s="21" t="s">
        <v>265</v>
      </c>
      <c r="M348" s="21" t="s">
        <v>101</v>
      </c>
      <c r="N348" s="3"/>
      <c r="O348" s="21" t="s">
        <v>82</v>
      </c>
      <c r="P348" s="21" t="s">
        <v>52</v>
      </c>
      <c r="Q348" s="21" t="s">
        <v>83</v>
      </c>
      <c r="R348" s="2">
        <v>42</v>
      </c>
      <c r="S348" s="2">
        <v>169.1</v>
      </c>
      <c r="T348" s="2">
        <v>85.1</v>
      </c>
      <c r="U348" s="4">
        <v>50.325251330573629</v>
      </c>
      <c r="V348" s="21" t="s">
        <v>281</v>
      </c>
      <c r="W348">
        <v>1</v>
      </c>
      <c r="X348"/>
      <c r="Y348" s="20"/>
    </row>
    <row r="349" spans="1:25" x14ac:dyDescent="0.3">
      <c r="A349" s="20" t="s">
        <v>411</v>
      </c>
      <c r="B349" s="21" t="s">
        <v>17</v>
      </c>
      <c r="C349" s="21" t="s">
        <v>420</v>
      </c>
      <c r="D349" s="3">
        <v>45691</v>
      </c>
      <c r="E349" s="21" t="s">
        <v>18</v>
      </c>
      <c r="F349" s="21" t="s">
        <v>19</v>
      </c>
      <c r="G349" s="21" t="s">
        <v>46</v>
      </c>
      <c r="H349" s="2">
        <v>2</v>
      </c>
      <c r="I349" s="2">
        <v>199</v>
      </c>
      <c r="J349" s="2">
        <v>20</v>
      </c>
      <c r="K349" s="21" t="s">
        <v>97</v>
      </c>
      <c r="L349" s="21" t="s">
        <v>20</v>
      </c>
      <c r="M349" s="21" t="s">
        <v>13</v>
      </c>
      <c r="N349" s="3">
        <v>44931</v>
      </c>
      <c r="O349" s="21" t="s">
        <v>47</v>
      </c>
      <c r="P349" s="21" t="s">
        <v>48</v>
      </c>
      <c r="Q349" s="21" t="s">
        <v>49</v>
      </c>
      <c r="R349" s="2">
        <v>95</v>
      </c>
      <c r="S349" s="2">
        <v>378</v>
      </c>
      <c r="T349" s="2">
        <v>188</v>
      </c>
      <c r="U349" s="4">
        <v>49.735449735449734</v>
      </c>
      <c r="V349" s="21" t="s">
        <v>281</v>
      </c>
      <c r="W349">
        <v>1</v>
      </c>
      <c r="X349">
        <v>35</v>
      </c>
      <c r="Y349" s="20">
        <v>1</v>
      </c>
    </row>
    <row r="350" spans="1:25" x14ac:dyDescent="0.3">
      <c r="A350" s="20" t="s">
        <v>411</v>
      </c>
      <c r="B350" s="21" t="s">
        <v>17</v>
      </c>
      <c r="C350" s="21" t="s">
        <v>421</v>
      </c>
      <c r="D350" s="3">
        <v>45696</v>
      </c>
      <c r="E350" s="21" t="s">
        <v>18</v>
      </c>
      <c r="F350" s="21" t="s">
        <v>19</v>
      </c>
      <c r="G350" s="21" t="s">
        <v>84</v>
      </c>
      <c r="H350" s="2">
        <v>1</v>
      </c>
      <c r="I350" s="2">
        <v>2199</v>
      </c>
      <c r="J350" s="2">
        <v>220</v>
      </c>
      <c r="K350" s="21" t="s">
        <v>97</v>
      </c>
      <c r="L350" s="21" t="s">
        <v>20</v>
      </c>
      <c r="M350" s="21" t="s">
        <v>13</v>
      </c>
      <c r="N350" s="3">
        <v>44931</v>
      </c>
      <c r="O350" s="21" t="s">
        <v>85</v>
      </c>
      <c r="P350" s="21" t="s">
        <v>44</v>
      </c>
      <c r="Q350" s="21" t="s">
        <v>56</v>
      </c>
      <c r="R350" s="2">
        <v>1380</v>
      </c>
      <c r="S350" s="2">
        <v>1979</v>
      </c>
      <c r="T350" s="2">
        <v>599</v>
      </c>
      <c r="U350" s="4">
        <v>30.267812026275898</v>
      </c>
      <c r="V350" s="21" t="s">
        <v>281</v>
      </c>
      <c r="W350">
        <v>1</v>
      </c>
      <c r="X350">
        <v>35</v>
      </c>
      <c r="Y350" s="20">
        <v>1</v>
      </c>
    </row>
    <row r="351" spans="1:25" x14ac:dyDescent="0.3">
      <c r="A351" s="20" t="s">
        <v>411</v>
      </c>
      <c r="B351" s="21" t="s">
        <v>17</v>
      </c>
      <c r="C351" s="21" t="s">
        <v>434</v>
      </c>
      <c r="D351" s="3">
        <v>45699</v>
      </c>
      <c r="E351" s="21" t="s">
        <v>416</v>
      </c>
      <c r="F351" s="21" t="s">
        <v>417</v>
      </c>
      <c r="G351" s="21" t="s">
        <v>60</v>
      </c>
      <c r="H351" s="2">
        <v>2</v>
      </c>
      <c r="I351" s="2">
        <v>899</v>
      </c>
      <c r="J351" s="2">
        <v>90</v>
      </c>
      <c r="K351" s="21" t="s">
        <v>97</v>
      </c>
      <c r="L351" s="21" t="s">
        <v>7</v>
      </c>
      <c r="M351" s="21" t="s">
        <v>30</v>
      </c>
      <c r="N351" s="3">
        <v>45689</v>
      </c>
      <c r="O351" s="21" t="s">
        <v>61</v>
      </c>
      <c r="P351" s="21" t="s">
        <v>48</v>
      </c>
      <c r="Q351" s="21" t="s">
        <v>62</v>
      </c>
      <c r="R351" s="2">
        <v>520</v>
      </c>
      <c r="S351" s="2">
        <v>1708</v>
      </c>
      <c r="T351" s="2">
        <v>668</v>
      </c>
      <c r="U351" s="4">
        <v>39.110070257611241</v>
      </c>
      <c r="V351" s="21" t="s">
        <v>281</v>
      </c>
      <c r="W351">
        <v>1</v>
      </c>
      <c r="X351">
        <v>7</v>
      </c>
      <c r="Y351" s="20">
        <v>1</v>
      </c>
    </row>
    <row r="352" spans="1:25" x14ac:dyDescent="0.3">
      <c r="A352" s="20" t="s">
        <v>411</v>
      </c>
      <c r="B352" s="21" t="s">
        <v>17</v>
      </c>
      <c r="C352" s="21" t="s">
        <v>435</v>
      </c>
      <c r="D352" s="3">
        <v>45699</v>
      </c>
      <c r="E352" s="21" t="s">
        <v>101</v>
      </c>
      <c r="F352" s="21" t="s">
        <v>220</v>
      </c>
      <c r="G352" s="21" t="s">
        <v>63</v>
      </c>
      <c r="H352" s="2">
        <v>4</v>
      </c>
      <c r="I352" s="2">
        <v>29</v>
      </c>
      <c r="J352" s="2">
        <v>0</v>
      </c>
      <c r="K352" s="21" t="s">
        <v>97</v>
      </c>
      <c r="L352" s="21" t="s">
        <v>265</v>
      </c>
      <c r="M352" s="21" t="s">
        <v>101</v>
      </c>
      <c r="N352" s="3"/>
      <c r="O352" s="21" t="s">
        <v>64</v>
      </c>
      <c r="P352" s="21" t="s">
        <v>52</v>
      </c>
      <c r="Q352" s="21" t="s">
        <v>62</v>
      </c>
      <c r="R352" s="2">
        <v>11</v>
      </c>
      <c r="S352" s="2">
        <v>116</v>
      </c>
      <c r="T352" s="2">
        <v>72</v>
      </c>
      <c r="U352" s="4">
        <v>62.068965517241381</v>
      </c>
      <c r="V352" s="21" t="s">
        <v>281</v>
      </c>
      <c r="W352">
        <v>1</v>
      </c>
      <c r="X352"/>
      <c r="Y352" s="20"/>
    </row>
    <row r="353" spans="1:25" x14ac:dyDescent="0.3">
      <c r="A353" s="20" t="s">
        <v>411</v>
      </c>
      <c r="B353" s="21" t="s">
        <v>17</v>
      </c>
      <c r="C353" s="21" t="s">
        <v>436</v>
      </c>
      <c r="D353" s="3">
        <v>45700</v>
      </c>
      <c r="E353" s="21" t="s">
        <v>15</v>
      </c>
      <c r="F353" s="21" t="s">
        <v>16</v>
      </c>
      <c r="G353" s="21" t="s">
        <v>65</v>
      </c>
      <c r="H353" s="2">
        <v>1</v>
      </c>
      <c r="I353" s="2">
        <v>749</v>
      </c>
      <c r="J353" s="2">
        <v>75</v>
      </c>
      <c r="K353" s="21" t="s">
        <v>97</v>
      </c>
      <c r="L353" s="21" t="s">
        <v>7</v>
      </c>
      <c r="M353" s="21" t="s">
        <v>13</v>
      </c>
      <c r="N353" s="3">
        <v>44883</v>
      </c>
      <c r="O353" s="21" t="s">
        <v>66</v>
      </c>
      <c r="P353" s="21" t="s">
        <v>44</v>
      </c>
      <c r="Q353" s="21" t="s">
        <v>67</v>
      </c>
      <c r="R353" s="2">
        <v>490</v>
      </c>
      <c r="S353" s="2">
        <v>674</v>
      </c>
      <c r="T353" s="2">
        <v>184</v>
      </c>
      <c r="U353" s="4">
        <v>27.299703264094955</v>
      </c>
      <c r="V353" s="21" t="s">
        <v>281</v>
      </c>
      <c r="W353">
        <v>1</v>
      </c>
      <c r="X353">
        <v>32</v>
      </c>
      <c r="Y353" s="20">
        <v>1</v>
      </c>
    </row>
    <row r="354" spans="1:25" x14ac:dyDescent="0.3">
      <c r="A354" s="20" t="s">
        <v>411</v>
      </c>
      <c r="B354" s="21" t="s">
        <v>17</v>
      </c>
      <c r="C354" s="21" t="s">
        <v>437</v>
      </c>
      <c r="D354" s="3">
        <v>45700</v>
      </c>
      <c r="E354" s="21" t="s">
        <v>18</v>
      </c>
      <c r="F354" s="21" t="s">
        <v>19</v>
      </c>
      <c r="G354" s="21" t="s">
        <v>68</v>
      </c>
      <c r="H354" s="2">
        <v>1</v>
      </c>
      <c r="I354" s="2">
        <v>229</v>
      </c>
      <c r="J354" s="2">
        <v>22.9</v>
      </c>
      <c r="K354" s="21" t="s">
        <v>97</v>
      </c>
      <c r="L354" s="21" t="s">
        <v>20</v>
      </c>
      <c r="M354" s="21" t="s">
        <v>13</v>
      </c>
      <c r="N354" s="3">
        <v>44931</v>
      </c>
      <c r="O354" s="21" t="s">
        <v>69</v>
      </c>
      <c r="P354" s="21" t="s">
        <v>44</v>
      </c>
      <c r="Q354" s="21" t="s">
        <v>70</v>
      </c>
      <c r="R354" s="2">
        <v>110</v>
      </c>
      <c r="S354" s="2">
        <v>206.1</v>
      </c>
      <c r="T354" s="2">
        <v>96.1</v>
      </c>
      <c r="U354" s="4">
        <v>46.62785055798156</v>
      </c>
      <c r="V354" s="21" t="s">
        <v>281</v>
      </c>
      <c r="W354">
        <v>1</v>
      </c>
      <c r="X354">
        <v>35</v>
      </c>
      <c r="Y354" s="20">
        <v>1</v>
      </c>
    </row>
    <row r="355" spans="1:25" x14ac:dyDescent="0.3">
      <c r="A355" s="20" t="s">
        <v>411</v>
      </c>
      <c r="B355" s="21" t="s">
        <v>17</v>
      </c>
      <c r="C355" s="21" t="s">
        <v>438</v>
      </c>
      <c r="D355" s="3">
        <v>45701</v>
      </c>
      <c r="E355" s="21" t="s">
        <v>101</v>
      </c>
      <c r="F355" s="21" t="s">
        <v>220</v>
      </c>
      <c r="G355" s="21" t="s">
        <v>73</v>
      </c>
      <c r="H355" s="2">
        <v>3</v>
      </c>
      <c r="I355" s="2">
        <v>19</v>
      </c>
      <c r="J355" s="2">
        <v>0</v>
      </c>
      <c r="K355" s="21" t="s">
        <v>97</v>
      </c>
      <c r="L355" s="21" t="s">
        <v>265</v>
      </c>
      <c r="M355" s="21" t="s">
        <v>101</v>
      </c>
      <c r="N355" s="3"/>
      <c r="O355" s="21" t="s">
        <v>74</v>
      </c>
      <c r="P355" s="21" t="s">
        <v>52</v>
      </c>
      <c r="Q355" s="21" t="s">
        <v>62</v>
      </c>
      <c r="R355" s="2">
        <v>8</v>
      </c>
      <c r="S355" s="2">
        <v>57</v>
      </c>
      <c r="T355" s="2">
        <v>33</v>
      </c>
      <c r="U355" s="4">
        <v>57.894736842105267</v>
      </c>
      <c r="V355" s="21" t="s">
        <v>281</v>
      </c>
      <c r="W355">
        <v>1</v>
      </c>
      <c r="X355"/>
      <c r="Y355" s="20"/>
    </row>
    <row r="356" spans="1:25" x14ac:dyDescent="0.3">
      <c r="A356" s="20" t="s">
        <v>411</v>
      </c>
      <c r="B356" s="21" t="s">
        <v>17</v>
      </c>
      <c r="C356" s="21" t="s">
        <v>439</v>
      </c>
      <c r="D356" s="3">
        <v>45701</v>
      </c>
      <c r="E356" s="21" t="s">
        <v>35</v>
      </c>
      <c r="F356" s="21" t="s">
        <v>36</v>
      </c>
      <c r="G356" s="21" t="s">
        <v>75</v>
      </c>
      <c r="H356" s="2">
        <v>1</v>
      </c>
      <c r="I356" s="2">
        <v>599</v>
      </c>
      <c r="J356" s="2">
        <v>59.9</v>
      </c>
      <c r="K356" s="21" t="s">
        <v>97</v>
      </c>
      <c r="L356" s="21" t="s">
        <v>7</v>
      </c>
      <c r="M356" s="21" t="s">
        <v>30</v>
      </c>
      <c r="N356" s="3">
        <v>45665</v>
      </c>
      <c r="O356" s="21" t="s">
        <v>76</v>
      </c>
      <c r="P356" s="21" t="s">
        <v>44</v>
      </c>
      <c r="Q356" s="21" t="s">
        <v>59</v>
      </c>
      <c r="R356" s="2">
        <v>350</v>
      </c>
      <c r="S356" s="2">
        <v>539.1</v>
      </c>
      <c r="T356" s="2">
        <v>189.10000000000002</v>
      </c>
      <c r="U356" s="4">
        <v>35.076980152105364</v>
      </c>
      <c r="V356" s="21" t="s">
        <v>281</v>
      </c>
      <c r="W356">
        <v>1</v>
      </c>
      <c r="X356">
        <v>20</v>
      </c>
      <c r="Y356" s="20">
        <v>1</v>
      </c>
    </row>
    <row r="357" spans="1:25" x14ac:dyDescent="0.3">
      <c r="A357" s="20" t="s">
        <v>411</v>
      </c>
      <c r="B357" s="21" t="s">
        <v>17</v>
      </c>
      <c r="C357" s="21" t="s">
        <v>440</v>
      </c>
      <c r="D357" s="3">
        <v>45702</v>
      </c>
      <c r="E357" s="21" t="s">
        <v>25</v>
      </c>
      <c r="F357" s="21" t="s">
        <v>26</v>
      </c>
      <c r="G357" s="21" t="s">
        <v>77</v>
      </c>
      <c r="H357" s="2">
        <v>1</v>
      </c>
      <c r="I357" s="2">
        <v>1099</v>
      </c>
      <c r="J357" s="2">
        <v>110</v>
      </c>
      <c r="K357" s="21" t="s">
        <v>97</v>
      </c>
      <c r="L357" s="21" t="s">
        <v>27</v>
      </c>
      <c r="M357" s="21" t="s">
        <v>13</v>
      </c>
      <c r="N357" s="3">
        <v>45168</v>
      </c>
      <c r="O357" s="21" t="s">
        <v>78</v>
      </c>
      <c r="P357" s="21" t="s">
        <v>48</v>
      </c>
      <c r="Q357" s="21" t="s">
        <v>62</v>
      </c>
      <c r="R357" s="2">
        <v>650</v>
      </c>
      <c r="S357" s="2">
        <v>989</v>
      </c>
      <c r="T357" s="2">
        <v>339</v>
      </c>
      <c r="U357" s="4">
        <v>34.277047522750252</v>
      </c>
      <c r="V357" s="21" t="s">
        <v>281</v>
      </c>
      <c r="W357">
        <v>1</v>
      </c>
      <c r="X357">
        <v>46</v>
      </c>
      <c r="Y357" s="20">
        <v>1</v>
      </c>
    </row>
    <row r="358" spans="1:25" x14ac:dyDescent="0.3">
      <c r="A358" s="20" t="s">
        <v>411</v>
      </c>
      <c r="B358" s="21" t="s">
        <v>17</v>
      </c>
      <c r="C358" s="21" t="s">
        <v>441</v>
      </c>
      <c r="D358" s="3">
        <v>45702</v>
      </c>
      <c r="E358" s="21" t="s">
        <v>101</v>
      </c>
      <c r="F358" s="21" t="s">
        <v>220</v>
      </c>
      <c r="G358" s="21" t="s">
        <v>42</v>
      </c>
      <c r="H358" s="2">
        <v>2</v>
      </c>
      <c r="I358" s="2">
        <v>349</v>
      </c>
      <c r="J358" s="2">
        <v>0</v>
      </c>
      <c r="K358" s="21" t="s">
        <v>97</v>
      </c>
      <c r="L358" s="21" t="s">
        <v>265</v>
      </c>
      <c r="M358" s="21" t="s">
        <v>101</v>
      </c>
      <c r="N358" s="3"/>
      <c r="O358" s="21" t="s">
        <v>43</v>
      </c>
      <c r="P358" s="21" t="s">
        <v>44</v>
      </c>
      <c r="Q358" s="21" t="s">
        <v>45</v>
      </c>
      <c r="R358" s="2">
        <v>165</v>
      </c>
      <c r="S358" s="2">
        <v>698</v>
      </c>
      <c r="T358" s="2">
        <v>368</v>
      </c>
      <c r="U358" s="4">
        <v>52.722063037249278</v>
      </c>
      <c r="V358" s="21" t="s">
        <v>281</v>
      </c>
      <c r="W358">
        <v>1</v>
      </c>
      <c r="X358"/>
      <c r="Y358" s="20"/>
    </row>
    <row r="359" spans="1:25" x14ac:dyDescent="0.3">
      <c r="A359" s="20" t="s">
        <v>411</v>
      </c>
      <c r="B359" s="21" t="s">
        <v>17</v>
      </c>
      <c r="C359" s="21" t="s">
        <v>442</v>
      </c>
      <c r="D359" s="3">
        <v>45703</v>
      </c>
      <c r="E359" s="21" t="s">
        <v>5</v>
      </c>
      <c r="F359" s="21" t="s">
        <v>6</v>
      </c>
      <c r="G359" s="21" t="s">
        <v>81</v>
      </c>
      <c r="H359" s="2">
        <v>1</v>
      </c>
      <c r="I359" s="2">
        <v>89</v>
      </c>
      <c r="J359" s="2">
        <v>8.9</v>
      </c>
      <c r="K359" s="21" t="s">
        <v>97</v>
      </c>
      <c r="L359" s="21" t="s">
        <v>7</v>
      </c>
      <c r="M359" s="21" t="s">
        <v>8</v>
      </c>
      <c r="N359" s="3">
        <v>44635</v>
      </c>
      <c r="O359" s="21" t="s">
        <v>82</v>
      </c>
      <c r="P359" s="21" t="s">
        <v>52</v>
      </c>
      <c r="Q359" s="21" t="s">
        <v>83</v>
      </c>
      <c r="R359" s="2">
        <v>42</v>
      </c>
      <c r="S359" s="2">
        <v>80.099999999999994</v>
      </c>
      <c r="T359" s="2">
        <v>38.099999999999994</v>
      </c>
      <c r="U359" s="4">
        <v>47.565543071161045</v>
      </c>
      <c r="V359" s="21" t="s">
        <v>281</v>
      </c>
      <c r="W359">
        <v>1</v>
      </c>
      <c r="X359">
        <v>52</v>
      </c>
      <c r="Y359" s="20">
        <v>1</v>
      </c>
    </row>
    <row r="360" spans="1:25" x14ac:dyDescent="0.3">
      <c r="A360" s="20" t="s">
        <v>411</v>
      </c>
      <c r="B360" s="21" t="s">
        <v>17</v>
      </c>
      <c r="C360" s="21" t="s">
        <v>443</v>
      </c>
      <c r="D360" s="3">
        <v>45704</v>
      </c>
      <c r="E360" s="21" t="s">
        <v>15</v>
      </c>
      <c r="F360" s="21" t="s">
        <v>16</v>
      </c>
      <c r="G360" s="21" t="s">
        <v>46</v>
      </c>
      <c r="H360" s="2">
        <v>2</v>
      </c>
      <c r="I360" s="2">
        <v>199</v>
      </c>
      <c r="J360" s="2">
        <v>20</v>
      </c>
      <c r="K360" s="21" t="s">
        <v>97</v>
      </c>
      <c r="L360" s="21" t="s">
        <v>7</v>
      </c>
      <c r="M360" s="21" t="s">
        <v>13</v>
      </c>
      <c r="N360" s="3">
        <v>44883</v>
      </c>
      <c r="O360" s="21" t="s">
        <v>47</v>
      </c>
      <c r="P360" s="21" t="s">
        <v>48</v>
      </c>
      <c r="Q360" s="21" t="s">
        <v>49</v>
      </c>
      <c r="R360" s="2">
        <v>95</v>
      </c>
      <c r="S360" s="2">
        <v>378</v>
      </c>
      <c r="T360" s="2">
        <v>188</v>
      </c>
      <c r="U360" s="4">
        <v>49.735449735449734</v>
      </c>
      <c r="V360" s="21" t="s">
        <v>281</v>
      </c>
      <c r="W360">
        <v>1</v>
      </c>
      <c r="X360">
        <v>32</v>
      </c>
      <c r="Y360" s="20">
        <v>1</v>
      </c>
    </row>
    <row r="361" spans="1:25" x14ac:dyDescent="0.3">
      <c r="A361" s="20" t="s">
        <v>411</v>
      </c>
      <c r="B361" s="21" t="s">
        <v>17</v>
      </c>
      <c r="C361" s="21" t="s">
        <v>444</v>
      </c>
      <c r="D361" s="3">
        <v>45704</v>
      </c>
      <c r="E361" s="21" t="s">
        <v>101</v>
      </c>
      <c r="F361" s="21" t="s">
        <v>220</v>
      </c>
      <c r="G361" s="21" t="s">
        <v>50</v>
      </c>
      <c r="H361" s="2">
        <v>4</v>
      </c>
      <c r="I361" s="2">
        <v>45</v>
      </c>
      <c r="J361" s="2">
        <v>22.5</v>
      </c>
      <c r="K361" s="21" t="s">
        <v>97</v>
      </c>
      <c r="L361" s="21" t="s">
        <v>265</v>
      </c>
      <c r="M361" s="21" t="s">
        <v>101</v>
      </c>
      <c r="N361" s="3"/>
      <c r="O361" s="21" t="s">
        <v>51</v>
      </c>
      <c r="P361" s="21" t="s">
        <v>52</v>
      </c>
      <c r="Q361" s="21" t="s">
        <v>53</v>
      </c>
      <c r="R361" s="2">
        <v>18</v>
      </c>
      <c r="S361" s="2">
        <v>157.5</v>
      </c>
      <c r="T361" s="2">
        <v>85.5</v>
      </c>
      <c r="U361" s="4">
        <v>54.285714285714285</v>
      </c>
      <c r="V361" s="21" t="s">
        <v>281</v>
      </c>
      <c r="W361">
        <v>1</v>
      </c>
      <c r="X361"/>
      <c r="Y361" s="20"/>
    </row>
    <row r="362" spans="1:25" x14ac:dyDescent="0.3">
      <c r="A362" s="20" t="s">
        <v>411</v>
      </c>
      <c r="B362" s="21" t="s">
        <v>17</v>
      </c>
      <c r="C362" s="21" t="s">
        <v>445</v>
      </c>
      <c r="D362" s="3">
        <v>45705</v>
      </c>
      <c r="E362" s="21" t="s">
        <v>18</v>
      </c>
      <c r="F362" s="21" t="s">
        <v>19</v>
      </c>
      <c r="G362" s="21" t="s">
        <v>54</v>
      </c>
      <c r="H362" s="2">
        <v>1</v>
      </c>
      <c r="I362" s="2">
        <v>1299</v>
      </c>
      <c r="J362" s="2">
        <v>130</v>
      </c>
      <c r="K362" s="21" t="s">
        <v>97</v>
      </c>
      <c r="L362" s="21" t="s">
        <v>20</v>
      </c>
      <c r="M362" s="21" t="s">
        <v>13</v>
      </c>
      <c r="N362" s="3">
        <v>44931</v>
      </c>
      <c r="O362" s="21" t="s">
        <v>55</v>
      </c>
      <c r="P362" s="21" t="s">
        <v>44</v>
      </c>
      <c r="Q362" s="21" t="s">
        <v>56</v>
      </c>
      <c r="R362" s="2">
        <v>820</v>
      </c>
      <c r="S362" s="2">
        <v>1169</v>
      </c>
      <c r="T362" s="2">
        <v>349</v>
      </c>
      <c r="U362" s="4">
        <v>29.854576561163388</v>
      </c>
      <c r="V362" s="21" t="s">
        <v>281</v>
      </c>
      <c r="W362">
        <v>1</v>
      </c>
      <c r="X362">
        <v>35</v>
      </c>
      <c r="Y362" s="20">
        <v>1</v>
      </c>
    </row>
    <row r="363" spans="1:25" x14ac:dyDescent="0.3">
      <c r="A363" s="20" t="s">
        <v>411</v>
      </c>
      <c r="B363" s="21" t="s">
        <v>17</v>
      </c>
      <c r="C363" s="21" t="s">
        <v>446</v>
      </c>
      <c r="D363" s="3">
        <v>45705</v>
      </c>
      <c r="E363" s="21" t="s">
        <v>35</v>
      </c>
      <c r="F363" s="21" t="s">
        <v>36</v>
      </c>
      <c r="G363" s="21" t="s">
        <v>57</v>
      </c>
      <c r="H363" s="2">
        <v>1</v>
      </c>
      <c r="I363" s="2">
        <v>529</v>
      </c>
      <c r="J363" s="2">
        <v>0</v>
      </c>
      <c r="K363" s="21" t="s">
        <v>97</v>
      </c>
      <c r="L363" s="21" t="s">
        <v>7</v>
      </c>
      <c r="M363" s="21" t="s">
        <v>30</v>
      </c>
      <c r="N363" s="3">
        <v>45665</v>
      </c>
      <c r="O363" s="21" t="s">
        <v>58</v>
      </c>
      <c r="P363" s="21" t="s">
        <v>44</v>
      </c>
      <c r="Q363" s="21" t="s">
        <v>59</v>
      </c>
      <c r="R363" s="2">
        <v>260</v>
      </c>
      <c r="S363" s="2">
        <v>529</v>
      </c>
      <c r="T363" s="2">
        <v>269</v>
      </c>
      <c r="U363" s="4">
        <v>50.850661625708881</v>
      </c>
      <c r="V363" s="21" t="s">
        <v>281</v>
      </c>
      <c r="W363">
        <v>1</v>
      </c>
      <c r="X363">
        <v>20</v>
      </c>
      <c r="Y363" s="20">
        <v>1</v>
      </c>
    </row>
    <row r="364" spans="1:25" x14ac:dyDescent="0.3">
      <c r="A364" s="20" t="s">
        <v>411</v>
      </c>
      <c r="B364" s="21" t="s">
        <v>17</v>
      </c>
      <c r="C364" s="21" t="s">
        <v>447</v>
      </c>
      <c r="D364" s="3">
        <v>45706</v>
      </c>
      <c r="E364" s="21" t="s">
        <v>101</v>
      </c>
      <c r="F364" s="21" t="s">
        <v>220</v>
      </c>
      <c r="G364" s="21" t="s">
        <v>63</v>
      </c>
      <c r="H364" s="2">
        <v>2</v>
      </c>
      <c r="I364" s="2">
        <v>29</v>
      </c>
      <c r="J364" s="2">
        <v>0</v>
      </c>
      <c r="K364" s="21" t="s">
        <v>97</v>
      </c>
      <c r="L364" s="21" t="s">
        <v>265</v>
      </c>
      <c r="M364" s="21" t="s">
        <v>101</v>
      </c>
      <c r="N364" s="3"/>
      <c r="O364" s="21" t="s">
        <v>64</v>
      </c>
      <c r="P364" s="21" t="s">
        <v>52</v>
      </c>
      <c r="Q364" s="21" t="s">
        <v>62</v>
      </c>
      <c r="R364" s="2">
        <v>11</v>
      </c>
      <c r="S364" s="2">
        <v>58</v>
      </c>
      <c r="T364" s="2">
        <v>36</v>
      </c>
      <c r="U364" s="4">
        <v>62.068965517241381</v>
      </c>
      <c r="V364" s="21" t="s">
        <v>281</v>
      </c>
      <c r="W364">
        <v>1</v>
      </c>
      <c r="X364"/>
      <c r="Y364" s="20"/>
    </row>
    <row r="365" spans="1:25" x14ac:dyDescent="0.3">
      <c r="A365" s="20" t="s">
        <v>411</v>
      </c>
      <c r="B365" s="21" t="s">
        <v>17</v>
      </c>
      <c r="C365" s="21" t="s">
        <v>448</v>
      </c>
      <c r="D365" s="3">
        <v>45706</v>
      </c>
      <c r="E365" s="21" t="s">
        <v>25</v>
      </c>
      <c r="F365" s="21" t="s">
        <v>26</v>
      </c>
      <c r="G365" s="21" t="s">
        <v>60</v>
      </c>
      <c r="H365" s="2">
        <v>1</v>
      </c>
      <c r="I365" s="2">
        <v>899</v>
      </c>
      <c r="J365" s="2">
        <v>89.9</v>
      </c>
      <c r="K365" s="21" t="s">
        <v>97</v>
      </c>
      <c r="L365" s="21" t="s">
        <v>27</v>
      </c>
      <c r="M365" s="21" t="s">
        <v>13</v>
      </c>
      <c r="N365" s="3">
        <v>45168</v>
      </c>
      <c r="O365" s="21" t="s">
        <v>61</v>
      </c>
      <c r="P365" s="21" t="s">
        <v>48</v>
      </c>
      <c r="Q365" s="21" t="s">
        <v>62</v>
      </c>
      <c r="R365" s="2">
        <v>520</v>
      </c>
      <c r="S365" s="2">
        <v>809.1</v>
      </c>
      <c r="T365" s="2">
        <v>289.10000000000002</v>
      </c>
      <c r="U365" s="4">
        <v>35.731059201582006</v>
      </c>
      <c r="V365" s="21" t="s">
        <v>281</v>
      </c>
      <c r="W365">
        <v>1</v>
      </c>
      <c r="X365">
        <v>46</v>
      </c>
      <c r="Y365" s="20">
        <v>1</v>
      </c>
    </row>
    <row r="366" spans="1:25" x14ac:dyDescent="0.3">
      <c r="A366" s="20" t="s">
        <v>411</v>
      </c>
      <c r="B366" s="21" t="s">
        <v>17</v>
      </c>
      <c r="C366" s="21" t="s">
        <v>449</v>
      </c>
      <c r="D366" s="3">
        <v>45707</v>
      </c>
      <c r="E366" s="21" t="s">
        <v>416</v>
      </c>
      <c r="F366" s="21" t="s">
        <v>417</v>
      </c>
      <c r="G366" s="21" t="s">
        <v>65</v>
      </c>
      <c r="H366" s="2">
        <v>2</v>
      </c>
      <c r="I366" s="2">
        <v>749</v>
      </c>
      <c r="J366" s="2">
        <v>75</v>
      </c>
      <c r="K366" s="21" t="s">
        <v>97</v>
      </c>
      <c r="L366" s="21" t="s">
        <v>7</v>
      </c>
      <c r="M366" s="21" t="s">
        <v>30</v>
      </c>
      <c r="N366" s="3">
        <v>45689</v>
      </c>
      <c r="O366" s="21" t="s">
        <v>66</v>
      </c>
      <c r="P366" s="21" t="s">
        <v>44</v>
      </c>
      <c r="Q366" s="21" t="s">
        <v>67</v>
      </c>
      <c r="R366" s="2">
        <v>490</v>
      </c>
      <c r="S366" s="2">
        <v>1423</v>
      </c>
      <c r="T366" s="2">
        <v>443</v>
      </c>
      <c r="U366" s="4">
        <v>31.131412508784255</v>
      </c>
      <c r="V366" s="21" t="s">
        <v>281</v>
      </c>
      <c r="W366">
        <v>1</v>
      </c>
      <c r="X366">
        <v>7</v>
      </c>
      <c r="Y366" s="20">
        <v>1</v>
      </c>
    </row>
    <row r="367" spans="1:25" x14ac:dyDescent="0.3">
      <c r="A367" s="20" t="s">
        <v>411</v>
      </c>
      <c r="B367" s="21" t="s">
        <v>17</v>
      </c>
      <c r="C367" s="21" t="s">
        <v>450</v>
      </c>
      <c r="D367" s="3">
        <v>45707</v>
      </c>
      <c r="E367" s="21" t="s">
        <v>5</v>
      </c>
      <c r="F367" s="21" t="s">
        <v>6</v>
      </c>
      <c r="G367" s="21" t="s">
        <v>68</v>
      </c>
      <c r="H367" s="2">
        <v>1</v>
      </c>
      <c r="I367" s="2">
        <v>229</v>
      </c>
      <c r="J367" s="2">
        <v>0</v>
      </c>
      <c r="K367" s="21" t="s">
        <v>97</v>
      </c>
      <c r="L367" s="21" t="s">
        <v>7</v>
      </c>
      <c r="M367" s="21" t="s">
        <v>8</v>
      </c>
      <c r="N367" s="3">
        <v>44635</v>
      </c>
      <c r="O367" s="21" t="s">
        <v>69</v>
      </c>
      <c r="P367" s="21" t="s">
        <v>44</v>
      </c>
      <c r="Q367" s="21" t="s">
        <v>70</v>
      </c>
      <c r="R367" s="2">
        <v>110</v>
      </c>
      <c r="S367" s="2">
        <v>229</v>
      </c>
      <c r="T367" s="2">
        <v>119</v>
      </c>
      <c r="U367" s="4">
        <v>51.965065502183407</v>
      </c>
      <c r="V367" s="21" t="s">
        <v>281</v>
      </c>
      <c r="W367">
        <v>1</v>
      </c>
      <c r="X367">
        <v>52</v>
      </c>
      <c r="Y367" s="20">
        <v>1</v>
      </c>
    </row>
    <row r="368" spans="1:25" x14ac:dyDescent="0.3">
      <c r="A368" s="20" t="s">
        <v>411</v>
      </c>
      <c r="B368" s="21" t="s">
        <v>17</v>
      </c>
      <c r="C368" s="21" t="s">
        <v>451</v>
      </c>
      <c r="D368" s="3">
        <v>45708</v>
      </c>
      <c r="E368" s="21" t="s">
        <v>101</v>
      </c>
      <c r="F368" s="21" t="s">
        <v>220</v>
      </c>
      <c r="G368" s="21" t="s">
        <v>73</v>
      </c>
      <c r="H368" s="2">
        <v>5</v>
      </c>
      <c r="I368" s="2">
        <v>19</v>
      </c>
      <c r="J368" s="2">
        <v>0</v>
      </c>
      <c r="K368" s="21" t="s">
        <v>97</v>
      </c>
      <c r="L368" s="21" t="s">
        <v>265</v>
      </c>
      <c r="M368" s="21" t="s">
        <v>101</v>
      </c>
      <c r="N368" s="3"/>
      <c r="O368" s="21" t="s">
        <v>74</v>
      </c>
      <c r="P368" s="21" t="s">
        <v>52</v>
      </c>
      <c r="Q368" s="21" t="s">
        <v>62</v>
      </c>
      <c r="R368" s="2">
        <v>8</v>
      </c>
      <c r="S368" s="2">
        <v>95</v>
      </c>
      <c r="T368" s="2">
        <v>55</v>
      </c>
      <c r="U368" s="4">
        <v>57.894736842105267</v>
      </c>
      <c r="V368" s="21" t="s">
        <v>281</v>
      </c>
      <c r="W368">
        <v>1</v>
      </c>
      <c r="X368"/>
      <c r="Y368" s="20"/>
    </row>
    <row r="369" spans="1:25" x14ac:dyDescent="0.3">
      <c r="A369" s="20" t="s">
        <v>411</v>
      </c>
      <c r="B369" s="21" t="s">
        <v>17</v>
      </c>
      <c r="C369" s="21" t="s">
        <v>452</v>
      </c>
      <c r="D369" s="3">
        <v>45708</v>
      </c>
      <c r="E369" s="21" t="s">
        <v>15</v>
      </c>
      <c r="F369" s="21" t="s">
        <v>16</v>
      </c>
      <c r="G369" s="21" t="s">
        <v>71</v>
      </c>
      <c r="H369" s="2">
        <v>1</v>
      </c>
      <c r="I369" s="2">
        <v>459</v>
      </c>
      <c r="J369" s="2">
        <v>46</v>
      </c>
      <c r="K369" s="21" t="s">
        <v>97</v>
      </c>
      <c r="L369" s="21" t="s">
        <v>7</v>
      </c>
      <c r="M369" s="21" t="s">
        <v>13</v>
      </c>
      <c r="N369" s="3">
        <v>44883</v>
      </c>
      <c r="O369" s="21" t="s">
        <v>72</v>
      </c>
      <c r="P369" s="21" t="s">
        <v>48</v>
      </c>
      <c r="Q369" s="21" t="s">
        <v>49</v>
      </c>
      <c r="R369" s="2">
        <v>210</v>
      </c>
      <c r="S369" s="2">
        <v>413</v>
      </c>
      <c r="T369" s="2">
        <v>203</v>
      </c>
      <c r="U369" s="4">
        <v>49.152542372881356</v>
      </c>
      <c r="V369" s="21" t="s">
        <v>281</v>
      </c>
      <c r="W369">
        <v>1</v>
      </c>
      <c r="X369">
        <v>32</v>
      </c>
      <c r="Y369" s="20">
        <v>1</v>
      </c>
    </row>
    <row r="370" spans="1:25" x14ac:dyDescent="0.3">
      <c r="A370" s="20" t="s">
        <v>411</v>
      </c>
      <c r="B370" s="21" t="s">
        <v>17</v>
      </c>
      <c r="C370" s="21" t="s">
        <v>453</v>
      </c>
      <c r="D370" s="3">
        <v>45709</v>
      </c>
      <c r="E370" s="21" t="s">
        <v>18</v>
      </c>
      <c r="F370" s="21" t="s">
        <v>19</v>
      </c>
      <c r="G370" s="21" t="s">
        <v>75</v>
      </c>
      <c r="H370" s="2">
        <v>1</v>
      </c>
      <c r="I370" s="2">
        <v>599</v>
      </c>
      <c r="J370" s="2">
        <v>60</v>
      </c>
      <c r="K370" s="21" t="s">
        <v>97</v>
      </c>
      <c r="L370" s="21" t="s">
        <v>20</v>
      </c>
      <c r="M370" s="21" t="s">
        <v>13</v>
      </c>
      <c r="N370" s="3">
        <v>44931</v>
      </c>
      <c r="O370" s="21" t="s">
        <v>76</v>
      </c>
      <c r="P370" s="21" t="s">
        <v>44</v>
      </c>
      <c r="Q370" s="21" t="s">
        <v>59</v>
      </c>
      <c r="R370" s="2">
        <v>350</v>
      </c>
      <c r="S370" s="2">
        <v>539</v>
      </c>
      <c r="T370" s="2">
        <v>189</v>
      </c>
      <c r="U370" s="4">
        <v>35.064935064935064</v>
      </c>
      <c r="V370" s="21" t="s">
        <v>281</v>
      </c>
      <c r="W370">
        <v>1</v>
      </c>
      <c r="X370">
        <v>35</v>
      </c>
      <c r="Y370" s="20">
        <v>1</v>
      </c>
    </row>
    <row r="371" spans="1:25" x14ac:dyDescent="0.3">
      <c r="A371" s="20" t="s">
        <v>411</v>
      </c>
      <c r="B371" s="21" t="s">
        <v>17</v>
      </c>
      <c r="C371" s="21" t="s">
        <v>454</v>
      </c>
      <c r="D371" s="3">
        <v>45709</v>
      </c>
      <c r="E371" s="21" t="s">
        <v>35</v>
      </c>
      <c r="F371" s="21" t="s">
        <v>36</v>
      </c>
      <c r="G371" s="21" t="s">
        <v>79</v>
      </c>
      <c r="H371" s="2">
        <v>1</v>
      </c>
      <c r="I371" s="2">
        <v>189</v>
      </c>
      <c r="J371" s="2">
        <v>19</v>
      </c>
      <c r="K371" s="21" t="s">
        <v>97</v>
      </c>
      <c r="L371" s="21" t="s">
        <v>7</v>
      </c>
      <c r="M371" s="21" t="s">
        <v>30</v>
      </c>
      <c r="N371" s="3">
        <v>45665</v>
      </c>
      <c r="O371" s="21" t="s">
        <v>80</v>
      </c>
      <c r="P371" s="21" t="s">
        <v>44</v>
      </c>
      <c r="Q371" s="21" t="s">
        <v>70</v>
      </c>
      <c r="R371" s="2">
        <v>95</v>
      </c>
      <c r="S371" s="2">
        <v>170</v>
      </c>
      <c r="T371" s="2">
        <v>75</v>
      </c>
      <c r="U371" s="4">
        <v>44.117647058823529</v>
      </c>
      <c r="V371" s="21" t="s">
        <v>281</v>
      </c>
      <c r="W371">
        <v>1</v>
      </c>
      <c r="X371">
        <v>20</v>
      </c>
      <c r="Y371" s="20">
        <v>1</v>
      </c>
    </row>
    <row r="372" spans="1:25" x14ac:dyDescent="0.3">
      <c r="A372" s="20" t="s">
        <v>411</v>
      </c>
      <c r="B372" s="21" t="s">
        <v>17</v>
      </c>
      <c r="C372" s="21" t="s">
        <v>455</v>
      </c>
      <c r="D372" s="3">
        <v>45710</v>
      </c>
      <c r="E372" s="21" t="s">
        <v>101</v>
      </c>
      <c r="F372" s="21" t="s">
        <v>220</v>
      </c>
      <c r="G372" s="21" t="s">
        <v>81</v>
      </c>
      <c r="H372" s="2">
        <v>2</v>
      </c>
      <c r="I372" s="2">
        <v>89</v>
      </c>
      <c r="J372" s="2">
        <v>0</v>
      </c>
      <c r="K372" s="21" t="s">
        <v>97</v>
      </c>
      <c r="L372" s="21" t="s">
        <v>265</v>
      </c>
      <c r="M372" s="21" t="s">
        <v>101</v>
      </c>
      <c r="N372" s="3"/>
      <c r="O372" s="21" t="s">
        <v>82</v>
      </c>
      <c r="P372" s="21" t="s">
        <v>52</v>
      </c>
      <c r="Q372" s="21" t="s">
        <v>83</v>
      </c>
      <c r="R372" s="2">
        <v>42</v>
      </c>
      <c r="S372" s="2">
        <v>178</v>
      </c>
      <c r="T372" s="2">
        <v>94</v>
      </c>
      <c r="U372" s="4">
        <v>52.80898876404494</v>
      </c>
      <c r="V372" s="21" t="s">
        <v>281</v>
      </c>
      <c r="W372">
        <v>1</v>
      </c>
      <c r="X372"/>
      <c r="Y372" s="20"/>
    </row>
    <row r="373" spans="1:25" x14ac:dyDescent="0.3">
      <c r="A373" s="20" t="s">
        <v>411</v>
      </c>
      <c r="B373" s="21" t="s">
        <v>17</v>
      </c>
      <c r="C373" s="21" t="s">
        <v>456</v>
      </c>
      <c r="D373" s="3">
        <v>45711</v>
      </c>
      <c r="E373" s="21" t="s">
        <v>416</v>
      </c>
      <c r="F373" s="21" t="s">
        <v>417</v>
      </c>
      <c r="G373" s="21" t="s">
        <v>77</v>
      </c>
      <c r="H373" s="2">
        <v>1</v>
      </c>
      <c r="I373" s="2">
        <v>1099</v>
      </c>
      <c r="J373" s="2">
        <v>110</v>
      </c>
      <c r="K373" s="21" t="s">
        <v>97</v>
      </c>
      <c r="L373" s="21" t="s">
        <v>7</v>
      </c>
      <c r="M373" s="21" t="s">
        <v>30</v>
      </c>
      <c r="N373" s="3">
        <v>45689</v>
      </c>
      <c r="O373" s="21" t="s">
        <v>78</v>
      </c>
      <c r="P373" s="21" t="s">
        <v>48</v>
      </c>
      <c r="Q373" s="21" t="s">
        <v>62</v>
      </c>
      <c r="R373" s="2">
        <v>650</v>
      </c>
      <c r="S373" s="2">
        <v>989</v>
      </c>
      <c r="T373" s="2">
        <v>339</v>
      </c>
      <c r="U373" s="4">
        <v>34.277047522750252</v>
      </c>
      <c r="V373" s="21" t="s">
        <v>281</v>
      </c>
      <c r="W373">
        <v>1</v>
      </c>
      <c r="X373">
        <v>7</v>
      </c>
      <c r="Y373" s="20">
        <v>1</v>
      </c>
    </row>
    <row r="374" spans="1:25" x14ac:dyDescent="0.3">
      <c r="A374" s="20" t="s">
        <v>411</v>
      </c>
      <c r="B374" s="21" t="s">
        <v>17</v>
      </c>
      <c r="C374" s="21" t="s">
        <v>457</v>
      </c>
      <c r="D374" s="3">
        <v>45711</v>
      </c>
      <c r="E374" s="21" t="s">
        <v>5</v>
      </c>
      <c r="F374" s="21" t="s">
        <v>6</v>
      </c>
      <c r="G374" s="21" t="s">
        <v>42</v>
      </c>
      <c r="H374" s="2">
        <v>2</v>
      </c>
      <c r="I374" s="2">
        <v>349</v>
      </c>
      <c r="J374" s="2">
        <v>34.9</v>
      </c>
      <c r="K374" s="21" t="s">
        <v>97</v>
      </c>
      <c r="L374" s="21" t="s">
        <v>7</v>
      </c>
      <c r="M374" s="21" t="s">
        <v>8</v>
      </c>
      <c r="N374" s="3">
        <v>44635</v>
      </c>
      <c r="O374" s="21" t="s">
        <v>43</v>
      </c>
      <c r="P374" s="21" t="s">
        <v>44</v>
      </c>
      <c r="Q374" s="21" t="s">
        <v>45</v>
      </c>
      <c r="R374" s="2">
        <v>165</v>
      </c>
      <c r="S374" s="2">
        <v>663.1</v>
      </c>
      <c r="T374" s="2">
        <v>333.1</v>
      </c>
      <c r="U374" s="4">
        <v>50.233750565525561</v>
      </c>
      <c r="V374" s="21" t="s">
        <v>281</v>
      </c>
      <c r="W374">
        <v>1</v>
      </c>
      <c r="X374">
        <v>52</v>
      </c>
      <c r="Y374" s="20">
        <v>1</v>
      </c>
    </row>
    <row r="375" spans="1:25" x14ac:dyDescent="0.3">
      <c r="A375" s="20" t="s">
        <v>411</v>
      </c>
      <c r="B375" s="21" t="s">
        <v>17</v>
      </c>
      <c r="C375" s="21" t="s">
        <v>458</v>
      </c>
      <c r="D375" s="3">
        <v>45712</v>
      </c>
      <c r="E375" s="21" t="s">
        <v>101</v>
      </c>
      <c r="F375" s="21" t="s">
        <v>220</v>
      </c>
      <c r="G375" s="21" t="s">
        <v>50</v>
      </c>
      <c r="H375" s="2">
        <v>3</v>
      </c>
      <c r="I375" s="2">
        <v>45</v>
      </c>
      <c r="J375" s="2">
        <v>0</v>
      </c>
      <c r="K375" s="21" t="s">
        <v>97</v>
      </c>
      <c r="L375" s="21" t="s">
        <v>265</v>
      </c>
      <c r="M375" s="21" t="s">
        <v>101</v>
      </c>
      <c r="N375" s="3"/>
      <c r="O375" s="21" t="s">
        <v>51</v>
      </c>
      <c r="P375" s="21" t="s">
        <v>52</v>
      </c>
      <c r="Q375" s="21" t="s">
        <v>53</v>
      </c>
      <c r="R375" s="2">
        <v>18</v>
      </c>
      <c r="S375" s="2">
        <v>135</v>
      </c>
      <c r="T375" s="2">
        <v>81</v>
      </c>
      <c r="U375" s="4">
        <v>60</v>
      </c>
      <c r="V375" s="21" t="s">
        <v>281</v>
      </c>
      <c r="W375">
        <v>1</v>
      </c>
      <c r="X375"/>
      <c r="Y375" s="20"/>
    </row>
    <row r="376" spans="1:25" x14ac:dyDescent="0.3">
      <c r="A376" s="20" t="s">
        <v>411</v>
      </c>
      <c r="B376" s="21" t="s">
        <v>17</v>
      </c>
      <c r="C376" s="21" t="s">
        <v>459</v>
      </c>
      <c r="D376" s="3">
        <v>45712</v>
      </c>
      <c r="E376" s="21" t="s">
        <v>15</v>
      </c>
      <c r="F376" s="21" t="s">
        <v>16</v>
      </c>
      <c r="G376" s="21" t="s">
        <v>54</v>
      </c>
      <c r="H376" s="2">
        <v>1</v>
      </c>
      <c r="I376" s="2">
        <v>1299</v>
      </c>
      <c r="J376" s="2">
        <v>130</v>
      </c>
      <c r="K376" s="21" t="s">
        <v>97</v>
      </c>
      <c r="L376" s="21" t="s">
        <v>7</v>
      </c>
      <c r="M376" s="21" t="s">
        <v>13</v>
      </c>
      <c r="N376" s="3">
        <v>44883</v>
      </c>
      <c r="O376" s="21" t="s">
        <v>55</v>
      </c>
      <c r="P376" s="21" t="s">
        <v>44</v>
      </c>
      <c r="Q376" s="21" t="s">
        <v>56</v>
      </c>
      <c r="R376" s="2">
        <v>820</v>
      </c>
      <c r="S376" s="2">
        <v>1169</v>
      </c>
      <c r="T376" s="2">
        <v>349</v>
      </c>
      <c r="U376" s="4">
        <v>29.854576561163388</v>
      </c>
      <c r="V376" s="21" t="s">
        <v>281</v>
      </c>
      <c r="W376">
        <v>1</v>
      </c>
      <c r="X376">
        <v>32</v>
      </c>
      <c r="Y376" s="20">
        <v>1</v>
      </c>
    </row>
    <row r="377" spans="1:25" x14ac:dyDescent="0.3">
      <c r="A377" s="20" t="s">
        <v>411</v>
      </c>
      <c r="B377" s="21" t="s">
        <v>17</v>
      </c>
      <c r="C377" s="21" t="s">
        <v>460</v>
      </c>
      <c r="D377" s="3">
        <v>45713</v>
      </c>
      <c r="E377" s="21" t="s">
        <v>18</v>
      </c>
      <c r="F377" s="21" t="s">
        <v>19</v>
      </c>
      <c r="G377" s="21" t="s">
        <v>60</v>
      </c>
      <c r="H377" s="2">
        <v>1</v>
      </c>
      <c r="I377" s="2">
        <v>899</v>
      </c>
      <c r="J377" s="2">
        <v>0</v>
      </c>
      <c r="K377" s="21" t="s">
        <v>97</v>
      </c>
      <c r="L377" s="21" t="s">
        <v>20</v>
      </c>
      <c r="M377" s="21" t="s">
        <v>13</v>
      </c>
      <c r="N377" s="3">
        <v>44931</v>
      </c>
      <c r="O377" s="21" t="s">
        <v>61</v>
      </c>
      <c r="P377" s="21" t="s">
        <v>48</v>
      </c>
      <c r="Q377" s="21" t="s">
        <v>62</v>
      </c>
      <c r="R377" s="2">
        <v>520</v>
      </c>
      <c r="S377" s="2">
        <v>899</v>
      </c>
      <c r="T377" s="2">
        <v>379</v>
      </c>
      <c r="U377" s="4">
        <v>42.157953281423808</v>
      </c>
      <c r="V377" s="21" t="s">
        <v>281</v>
      </c>
      <c r="W377">
        <v>1</v>
      </c>
      <c r="X377">
        <v>35</v>
      </c>
      <c r="Y377" s="20">
        <v>1</v>
      </c>
    </row>
    <row r="378" spans="1:25" x14ac:dyDescent="0.3">
      <c r="A378" s="20" t="s">
        <v>411</v>
      </c>
      <c r="B378" s="21" t="s">
        <v>17</v>
      </c>
      <c r="C378" s="21" t="s">
        <v>461</v>
      </c>
      <c r="D378" s="3">
        <v>45713</v>
      </c>
      <c r="E378" s="21" t="s">
        <v>35</v>
      </c>
      <c r="F378" s="21" t="s">
        <v>36</v>
      </c>
      <c r="G378" s="21" t="s">
        <v>57</v>
      </c>
      <c r="H378" s="2">
        <v>2</v>
      </c>
      <c r="I378" s="2">
        <v>529</v>
      </c>
      <c r="J378" s="2">
        <v>53</v>
      </c>
      <c r="K378" s="21" t="s">
        <v>97</v>
      </c>
      <c r="L378" s="21" t="s">
        <v>7</v>
      </c>
      <c r="M378" s="21" t="s">
        <v>30</v>
      </c>
      <c r="N378" s="3">
        <v>45665</v>
      </c>
      <c r="O378" s="21" t="s">
        <v>58</v>
      </c>
      <c r="P378" s="21" t="s">
        <v>44</v>
      </c>
      <c r="Q378" s="21" t="s">
        <v>59</v>
      </c>
      <c r="R378" s="2">
        <v>260</v>
      </c>
      <c r="S378" s="2">
        <v>1005</v>
      </c>
      <c r="T378" s="2">
        <v>485</v>
      </c>
      <c r="U378" s="4">
        <v>48.258706467661696</v>
      </c>
      <c r="V378" s="21" t="s">
        <v>281</v>
      </c>
      <c r="W378">
        <v>1</v>
      </c>
      <c r="X378">
        <v>20</v>
      </c>
      <c r="Y378" s="20">
        <v>1</v>
      </c>
    </row>
    <row r="379" spans="1:25" x14ac:dyDescent="0.3">
      <c r="A379" s="20" t="s">
        <v>411</v>
      </c>
      <c r="B379" s="21" t="s">
        <v>17</v>
      </c>
      <c r="C379" s="21" t="s">
        <v>462</v>
      </c>
      <c r="D379" s="3">
        <v>45714</v>
      </c>
      <c r="E379" s="21" t="s">
        <v>101</v>
      </c>
      <c r="F379" s="21" t="s">
        <v>220</v>
      </c>
      <c r="G379" s="21" t="s">
        <v>63</v>
      </c>
      <c r="H379" s="2">
        <v>3</v>
      </c>
      <c r="I379" s="2">
        <v>29</v>
      </c>
      <c r="J379" s="2">
        <v>0</v>
      </c>
      <c r="K379" s="21" t="s">
        <v>97</v>
      </c>
      <c r="L379" s="21" t="s">
        <v>265</v>
      </c>
      <c r="M379" s="21" t="s">
        <v>101</v>
      </c>
      <c r="N379" s="3"/>
      <c r="O379" s="21" t="s">
        <v>64</v>
      </c>
      <c r="P379" s="21" t="s">
        <v>52</v>
      </c>
      <c r="Q379" s="21" t="s">
        <v>62</v>
      </c>
      <c r="R379" s="2">
        <v>11</v>
      </c>
      <c r="S379" s="2">
        <v>87</v>
      </c>
      <c r="T379" s="2">
        <v>54</v>
      </c>
      <c r="U379" s="4">
        <v>62.068965517241381</v>
      </c>
      <c r="V379" s="21" t="s">
        <v>281</v>
      </c>
      <c r="W379">
        <v>1</v>
      </c>
      <c r="X379"/>
      <c r="Y379" s="20"/>
    </row>
    <row r="380" spans="1:25" x14ac:dyDescent="0.3">
      <c r="A380" s="20" t="s">
        <v>411</v>
      </c>
      <c r="B380" s="21" t="s">
        <v>17</v>
      </c>
      <c r="C380" s="21" t="s">
        <v>463</v>
      </c>
      <c r="D380" s="3">
        <v>45714</v>
      </c>
      <c r="E380" s="21" t="s">
        <v>25</v>
      </c>
      <c r="F380" s="21" t="s">
        <v>26</v>
      </c>
      <c r="G380" s="21" t="s">
        <v>65</v>
      </c>
      <c r="H380" s="2">
        <v>1</v>
      </c>
      <c r="I380" s="2">
        <v>749</v>
      </c>
      <c r="J380" s="2">
        <v>74.900000000000006</v>
      </c>
      <c r="K380" s="21" t="s">
        <v>97</v>
      </c>
      <c r="L380" s="21" t="s">
        <v>27</v>
      </c>
      <c r="M380" s="21" t="s">
        <v>13</v>
      </c>
      <c r="N380" s="3">
        <v>45168</v>
      </c>
      <c r="O380" s="21" t="s">
        <v>66</v>
      </c>
      <c r="P380" s="21" t="s">
        <v>44</v>
      </c>
      <c r="Q380" s="21" t="s">
        <v>67</v>
      </c>
      <c r="R380" s="2">
        <v>490</v>
      </c>
      <c r="S380" s="2">
        <v>674.1</v>
      </c>
      <c r="T380" s="2">
        <v>184.10000000000002</v>
      </c>
      <c r="U380" s="4">
        <v>27.310488058151609</v>
      </c>
      <c r="V380" s="21" t="s">
        <v>281</v>
      </c>
      <c r="W380">
        <v>1</v>
      </c>
      <c r="X380">
        <v>46</v>
      </c>
      <c r="Y380" s="20">
        <v>1</v>
      </c>
    </row>
    <row r="381" spans="1:25" x14ac:dyDescent="0.3">
      <c r="A381" s="20" t="s">
        <v>411</v>
      </c>
      <c r="B381" s="21" t="s">
        <v>17</v>
      </c>
      <c r="C381" s="21" t="s">
        <v>464</v>
      </c>
      <c r="D381" s="3">
        <v>45715</v>
      </c>
      <c r="E381" s="21" t="s">
        <v>416</v>
      </c>
      <c r="F381" s="21" t="s">
        <v>417</v>
      </c>
      <c r="G381" s="21" t="s">
        <v>68</v>
      </c>
      <c r="H381" s="2">
        <v>1</v>
      </c>
      <c r="I381" s="2">
        <v>229</v>
      </c>
      <c r="J381" s="2">
        <v>22.9</v>
      </c>
      <c r="K381" s="21" t="s">
        <v>97</v>
      </c>
      <c r="L381" s="21" t="s">
        <v>7</v>
      </c>
      <c r="M381" s="21" t="s">
        <v>30</v>
      </c>
      <c r="N381" s="3">
        <v>45689</v>
      </c>
      <c r="O381" s="21" t="s">
        <v>69</v>
      </c>
      <c r="P381" s="21" t="s">
        <v>44</v>
      </c>
      <c r="Q381" s="21" t="s">
        <v>70</v>
      </c>
      <c r="R381" s="2">
        <v>110</v>
      </c>
      <c r="S381" s="2">
        <v>206.1</v>
      </c>
      <c r="T381" s="2">
        <v>96.1</v>
      </c>
      <c r="U381" s="4">
        <v>46.62785055798156</v>
      </c>
      <c r="V381" s="21" t="s">
        <v>281</v>
      </c>
      <c r="W381">
        <v>1</v>
      </c>
      <c r="X381">
        <v>7</v>
      </c>
      <c r="Y381" s="20">
        <v>1</v>
      </c>
    </row>
    <row r="382" spans="1:25" x14ac:dyDescent="0.3">
      <c r="A382" s="20" t="s">
        <v>411</v>
      </c>
      <c r="B382" s="21" t="s">
        <v>17</v>
      </c>
      <c r="C382" s="21" t="s">
        <v>465</v>
      </c>
      <c r="D382" s="3">
        <v>45715</v>
      </c>
      <c r="E382" s="21" t="s">
        <v>5</v>
      </c>
      <c r="F382" s="21" t="s">
        <v>6</v>
      </c>
      <c r="G382" s="21" t="s">
        <v>46</v>
      </c>
      <c r="H382" s="2">
        <v>3</v>
      </c>
      <c r="I382" s="2">
        <v>199</v>
      </c>
      <c r="J382" s="2">
        <v>30</v>
      </c>
      <c r="K382" s="21" t="s">
        <v>97</v>
      </c>
      <c r="L382" s="21" t="s">
        <v>7</v>
      </c>
      <c r="M382" s="21" t="s">
        <v>8</v>
      </c>
      <c r="N382" s="3">
        <v>44635</v>
      </c>
      <c r="O382" s="21" t="s">
        <v>47</v>
      </c>
      <c r="P382" s="21" t="s">
        <v>48</v>
      </c>
      <c r="Q382" s="21" t="s">
        <v>49</v>
      </c>
      <c r="R382" s="2">
        <v>95</v>
      </c>
      <c r="S382" s="2">
        <v>567</v>
      </c>
      <c r="T382" s="2">
        <v>282</v>
      </c>
      <c r="U382" s="4">
        <v>49.735449735449734</v>
      </c>
      <c r="V382" s="21" t="s">
        <v>281</v>
      </c>
      <c r="W382">
        <v>1</v>
      </c>
      <c r="X382">
        <v>52</v>
      </c>
      <c r="Y382" s="20">
        <v>1</v>
      </c>
    </row>
    <row r="383" spans="1:25" x14ac:dyDescent="0.3">
      <c r="A383" s="20" t="s">
        <v>411</v>
      </c>
      <c r="B383" s="21" t="s">
        <v>17</v>
      </c>
      <c r="C383" s="21" t="s">
        <v>466</v>
      </c>
      <c r="D383" s="3">
        <v>45716</v>
      </c>
      <c r="E383" s="21" t="s">
        <v>101</v>
      </c>
      <c r="F383" s="21" t="s">
        <v>220</v>
      </c>
      <c r="G383" s="21" t="s">
        <v>73</v>
      </c>
      <c r="H383" s="2">
        <v>4</v>
      </c>
      <c r="I383" s="2">
        <v>19</v>
      </c>
      <c r="J383" s="2">
        <v>0</v>
      </c>
      <c r="K383" s="21" t="s">
        <v>97</v>
      </c>
      <c r="L383" s="21" t="s">
        <v>265</v>
      </c>
      <c r="M383" s="21" t="s">
        <v>101</v>
      </c>
      <c r="N383" s="3"/>
      <c r="O383" s="21" t="s">
        <v>74</v>
      </c>
      <c r="P383" s="21" t="s">
        <v>52</v>
      </c>
      <c r="Q383" s="21" t="s">
        <v>62</v>
      </c>
      <c r="R383" s="2">
        <v>8</v>
      </c>
      <c r="S383" s="2">
        <v>76</v>
      </c>
      <c r="T383" s="2">
        <v>44</v>
      </c>
      <c r="U383" s="4">
        <v>57.894736842105267</v>
      </c>
      <c r="V383" s="21" t="s">
        <v>281</v>
      </c>
      <c r="W383">
        <v>1</v>
      </c>
      <c r="X383"/>
      <c r="Y383" s="20"/>
    </row>
    <row r="384" spans="1:25" x14ac:dyDescent="0.3">
      <c r="A384" s="20" t="s">
        <v>411</v>
      </c>
      <c r="B384" s="21" t="s">
        <v>17</v>
      </c>
      <c r="C384" s="21" t="s">
        <v>467</v>
      </c>
      <c r="D384" s="3">
        <v>45716</v>
      </c>
      <c r="E384" s="21" t="s">
        <v>15</v>
      </c>
      <c r="F384" s="21" t="s">
        <v>16</v>
      </c>
      <c r="G384" s="21" t="s">
        <v>75</v>
      </c>
      <c r="H384" s="2">
        <v>1</v>
      </c>
      <c r="I384" s="2">
        <v>599</v>
      </c>
      <c r="J384" s="2">
        <v>59.9</v>
      </c>
      <c r="K384" s="21" t="s">
        <v>97</v>
      </c>
      <c r="L384" s="21" t="s">
        <v>7</v>
      </c>
      <c r="M384" s="21" t="s">
        <v>13</v>
      </c>
      <c r="N384" s="3">
        <v>44883</v>
      </c>
      <c r="O384" s="21" t="s">
        <v>76</v>
      </c>
      <c r="P384" s="21" t="s">
        <v>44</v>
      </c>
      <c r="Q384" s="21" t="s">
        <v>59</v>
      </c>
      <c r="R384" s="2">
        <v>350</v>
      </c>
      <c r="S384" s="2">
        <v>539.1</v>
      </c>
      <c r="T384" s="2">
        <v>189.10000000000002</v>
      </c>
      <c r="U384" s="4">
        <v>35.076980152105364</v>
      </c>
      <c r="V384" s="21" t="s">
        <v>281</v>
      </c>
      <c r="W384">
        <v>1</v>
      </c>
      <c r="X384">
        <v>32</v>
      </c>
      <c r="Y384" s="20">
        <v>1</v>
      </c>
    </row>
    <row r="385" spans="1:25" x14ac:dyDescent="0.3">
      <c r="A385" s="20" t="s">
        <v>468</v>
      </c>
      <c r="B385" s="21" t="s">
        <v>17</v>
      </c>
      <c r="C385" s="21" t="s">
        <v>213</v>
      </c>
      <c r="D385" s="3">
        <v>45658</v>
      </c>
      <c r="E385" s="21" t="s">
        <v>25</v>
      </c>
      <c r="F385" s="21" t="s">
        <v>26</v>
      </c>
      <c r="G385" s="21" t="s">
        <v>42</v>
      </c>
      <c r="H385" s="2">
        <v>2</v>
      </c>
      <c r="I385" s="2">
        <v>349</v>
      </c>
      <c r="J385" s="2">
        <v>0</v>
      </c>
      <c r="K385" s="21" t="s">
        <v>97</v>
      </c>
      <c r="L385" s="21" t="s">
        <v>27</v>
      </c>
      <c r="M385" s="21" t="s">
        <v>13</v>
      </c>
      <c r="N385" s="3">
        <v>45168</v>
      </c>
      <c r="O385" s="21" t="s">
        <v>43</v>
      </c>
      <c r="P385" s="21" t="s">
        <v>44</v>
      </c>
      <c r="Q385" s="21" t="s">
        <v>45</v>
      </c>
      <c r="R385" s="2">
        <v>165</v>
      </c>
      <c r="S385" s="2">
        <v>698</v>
      </c>
      <c r="T385" s="2">
        <v>368</v>
      </c>
      <c r="U385" s="4">
        <v>52.722063037249278</v>
      </c>
      <c r="V385" s="21" t="s">
        <v>98</v>
      </c>
      <c r="W385">
        <v>1</v>
      </c>
      <c r="X385">
        <v>46</v>
      </c>
      <c r="Y385" s="20">
        <v>1</v>
      </c>
    </row>
    <row r="386" spans="1:25" x14ac:dyDescent="0.3">
      <c r="A386" s="20" t="s">
        <v>468</v>
      </c>
      <c r="B386" s="21" t="s">
        <v>17</v>
      </c>
      <c r="C386" s="21" t="s">
        <v>218</v>
      </c>
      <c r="D386" s="3">
        <v>45659</v>
      </c>
      <c r="E386" s="21" t="s">
        <v>5</v>
      </c>
      <c r="F386" s="21" t="s">
        <v>6</v>
      </c>
      <c r="G386" s="21" t="s">
        <v>60</v>
      </c>
      <c r="H386" s="2">
        <v>1</v>
      </c>
      <c r="I386" s="2">
        <v>899</v>
      </c>
      <c r="J386" s="2">
        <v>0</v>
      </c>
      <c r="K386" s="21" t="s">
        <v>97</v>
      </c>
      <c r="L386" s="21" t="s">
        <v>7</v>
      </c>
      <c r="M386" s="21" t="s">
        <v>8</v>
      </c>
      <c r="N386" s="3">
        <v>44635</v>
      </c>
      <c r="O386" s="21" t="s">
        <v>61</v>
      </c>
      <c r="P386" s="21" t="s">
        <v>48</v>
      </c>
      <c r="Q386" s="21" t="s">
        <v>62</v>
      </c>
      <c r="R386" s="2">
        <v>520</v>
      </c>
      <c r="S386" s="2">
        <v>899</v>
      </c>
      <c r="T386" s="2">
        <v>379</v>
      </c>
      <c r="U386" s="4">
        <v>42.157953281423808</v>
      </c>
      <c r="V386" s="21" t="s">
        <v>98</v>
      </c>
      <c r="W386">
        <v>1</v>
      </c>
      <c r="X386">
        <v>52</v>
      </c>
      <c r="Y386" s="20">
        <v>1</v>
      </c>
    </row>
    <row r="387" spans="1:25" x14ac:dyDescent="0.3">
      <c r="A387" s="20" t="s">
        <v>468</v>
      </c>
      <c r="B387" s="21" t="s">
        <v>17</v>
      </c>
      <c r="C387" s="21" t="s">
        <v>219</v>
      </c>
      <c r="D387" s="3">
        <v>45659</v>
      </c>
      <c r="E387" s="21" t="s">
        <v>101</v>
      </c>
      <c r="F387" s="21" t="s">
        <v>220</v>
      </c>
      <c r="G387" s="21" t="s">
        <v>50</v>
      </c>
      <c r="H387" s="2">
        <v>2</v>
      </c>
      <c r="I387" s="2">
        <v>45</v>
      </c>
      <c r="J387" s="2">
        <v>4.5</v>
      </c>
      <c r="K387" s="21" t="s">
        <v>97</v>
      </c>
      <c r="L387" s="21" t="s">
        <v>265</v>
      </c>
      <c r="M387" s="21" t="s">
        <v>101</v>
      </c>
      <c r="N387" s="3"/>
      <c r="O387" s="21" t="s">
        <v>51</v>
      </c>
      <c r="P387" s="21" t="s">
        <v>52</v>
      </c>
      <c r="Q387" s="21" t="s">
        <v>53</v>
      </c>
      <c r="R387" s="2">
        <v>18</v>
      </c>
      <c r="S387" s="2">
        <v>85.5</v>
      </c>
      <c r="T387" s="2">
        <v>49.5</v>
      </c>
      <c r="U387" s="4">
        <v>57.894736842105267</v>
      </c>
      <c r="V387" s="21" t="s">
        <v>98</v>
      </c>
      <c r="W387">
        <v>1</v>
      </c>
      <c r="X387"/>
      <c r="Y387" s="20"/>
    </row>
    <row r="388" spans="1:25" x14ac:dyDescent="0.3">
      <c r="A388" s="20" t="s">
        <v>468</v>
      </c>
      <c r="B388" s="21" t="s">
        <v>17</v>
      </c>
      <c r="C388" s="21" t="s">
        <v>222</v>
      </c>
      <c r="D388" s="3">
        <v>45660</v>
      </c>
      <c r="E388" s="21" t="s">
        <v>35</v>
      </c>
      <c r="F388" s="21" t="s">
        <v>36</v>
      </c>
      <c r="G388" s="21" t="s">
        <v>54</v>
      </c>
      <c r="H388" s="2">
        <v>1</v>
      </c>
      <c r="I388" s="2">
        <v>1299</v>
      </c>
      <c r="J388" s="2">
        <v>130</v>
      </c>
      <c r="K388" s="21" t="s">
        <v>97</v>
      </c>
      <c r="L388" s="21" t="s">
        <v>7</v>
      </c>
      <c r="M388" s="21" t="s">
        <v>30</v>
      </c>
      <c r="N388" s="3">
        <v>45665</v>
      </c>
      <c r="O388" s="21" t="s">
        <v>55</v>
      </c>
      <c r="P388" s="21" t="s">
        <v>44</v>
      </c>
      <c r="Q388" s="21" t="s">
        <v>56</v>
      </c>
      <c r="R388" s="2">
        <v>820</v>
      </c>
      <c r="S388" s="2">
        <v>1169</v>
      </c>
      <c r="T388" s="2">
        <v>349</v>
      </c>
      <c r="U388" s="4">
        <v>29.854576561163388</v>
      </c>
      <c r="V388" s="21" t="s">
        <v>98</v>
      </c>
      <c r="W388">
        <v>1</v>
      </c>
      <c r="X388">
        <v>20</v>
      </c>
      <c r="Y388" s="20">
        <v>1</v>
      </c>
    </row>
    <row r="389" spans="1:25" x14ac:dyDescent="0.3">
      <c r="A389" s="20" t="s">
        <v>468</v>
      </c>
      <c r="B389" s="21" t="s">
        <v>17</v>
      </c>
      <c r="C389" s="21" t="s">
        <v>223</v>
      </c>
      <c r="D389" s="3">
        <v>45661</v>
      </c>
      <c r="E389" s="21" t="s">
        <v>15</v>
      </c>
      <c r="F389" s="21" t="s">
        <v>16</v>
      </c>
      <c r="G389" s="21" t="s">
        <v>57</v>
      </c>
      <c r="H389" s="2">
        <v>1</v>
      </c>
      <c r="I389" s="2">
        <v>529</v>
      </c>
      <c r="J389" s="2">
        <v>0</v>
      </c>
      <c r="K389" s="21" t="s">
        <v>97</v>
      </c>
      <c r="L389" s="21" t="s">
        <v>7</v>
      </c>
      <c r="M389" s="21" t="s">
        <v>13</v>
      </c>
      <c r="N389" s="3">
        <v>44883</v>
      </c>
      <c r="O389" s="21" t="s">
        <v>58</v>
      </c>
      <c r="P389" s="21" t="s">
        <v>44</v>
      </c>
      <c r="Q389" s="21" t="s">
        <v>59</v>
      </c>
      <c r="R389" s="2">
        <v>260</v>
      </c>
      <c r="S389" s="2">
        <v>529</v>
      </c>
      <c r="T389" s="2">
        <v>269</v>
      </c>
      <c r="U389" s="4">
        <v>50.850661625708881</v>
      </c>
      <c r="V389" s="21" t="s">
        <v>98</v>
      </c>
      <c r="W389">
        <v>1</v>
      </c>
      <c r="X389">
        <v>32</v>
      </c>
      <c r="Y389" s="20">
        <v>1</v>
      </c>
    </row>
    <row r="390" spans="1:25" x14ac:dyDescent="0.3">
      <c r="A390" s="20" t="s">
        <v>468</v>
      </c>
      <c r="B390" s="21" t="s">
        <v>17</v>
      </c>
      <c r="C390" s="21" t="s">
        <v>216</v>
      </c>
      <c r="D390" s="3">
        <v>45661</v>
      </c>
      <c r="E390" s="21" t="s">
        <v>18</v>
      </c>
      <c r="F390" s="21" t="s">
        <v>19</v>
      </c>
      <c r="G390" s="21" t="s">
        <v>46</v>
      </c>
      <c r="H390" s="2">
        <v>3</v>
      </c>
      <c r="I390" s="2">
        <v>199</v>
      </c>
      <c r="J390" s="2">
        <v>30</v>
      </c>
      <c r="K390" s="21" t="s">
        <v>97</v>
      </c>
      <c r="L390" s="21" t="s">
        <v>20</v>
      </c>
      <c r="M390" s="21" t="s">
        <v>13</v>
      </c>
      <c r="N390" s="3">
        <v>44931</v>
      </c>
      <c r="O390" s="21" t="s">
        <v>47</v>
      </c>
      <c r="P390" s="21" t="s">
        <v>48</v>
      </c>
      <c r="Q390" s="21" t="s">
        <v>49</v>
      </c>
      <c r="R390" s="2">
        <v>95</v>
      </c>
      <c r="S390" s="2">
        <v>567</v>
      </c>
      <c r="T390" s="2">
        <v>282</v>
      </c>
      <c r="U390" s="4">
        <v>49.735449735449734</v>
      </c>
      <c r="V390" s="21" t="s">
        <v>98</v>
      </c>
      <c r="W390">
        <v>1</v>
      </c>
      <c r="X390">
        <v>35</v>
      </c>
      <c r="Y390" s="20">
        <v>1</v>
      </c>
    </row>
    <row r="391" spans="1:25" x14ac:dyDescent="0.3">
      <c r="A391" s="20" t="s">
        <v>468</v>
      </c>
      <c r="B391" s="21" t="s">
        <v>17</v>
      </c>
      <c r="C391" s="21" t="s">
        <v>224</v>
      </c>
      <c r="D391" s="3">
        <v>45662</v>
      </c>
      <c r="E391" s="21" t="s">
        <v>101</v>
      </c>
      <c r="F391" s="21" t="s">
        <v>220</v>
      </c>
      <c r="G391" s="21" t="s">
        <v>63</v>
      </c>
      <c r="H391" s="2">
        <v>2</v>
      </c>
      <c r="I391" s="2">
        <v>29</v>
      </c>
      <c r="J391" s="2">
        <v>0</v>
      </c>
      <c r="K391" s="21" t="s">
        <v>97</v>
      </c>
      <c r="L391" s="21" t="s">
        <v>265</v>
      </c>
      <c r="M391" s="21" t="s">
        <v>101</v>
      </c>
      <c r="N391" s="3"/>
      <c r="O391" s="21" t="s">
        <v>64</v>
      </c>
      <c r="P391" s="21" t="s">
        <v>52</v>
      </c>
      <c r="Q391" s="21" t="s">
        <v>62</v>
      </c>
      <c r="R391" s="2">
        <v>11</v>
      </c>
      <c r="S391" s="2">
        <v>58</v>
      </c>
      <c r="T391" s="2">
        <v>36</v>
      </c>
      <c r="U391" s="4">
        <v>62.068965517241381</v>
      </c>
      <c r="V391" s="21" t="s">
        <v>98</v>
      </c>
      <c r="W391">
        <v>1</v>
      </c>
      <c r="X391"/>
      <c r="Y391" s="20"/>
    </row>
    <row r="392" spans="1:25" x14ac:dyDescent="0.3">
      <c r="A392" s="20" t="s">
        <v>468</v>
      </c>
      <c r="B392" s="21" t="s">
        <v>17</v>
      </c>
      <c r="C392" s="21" t="s">
        <v>226</v>
      </c>
      <c r="D392" s="3">
        <v>45663</v>
      </c>
      <c r="E392" s="21" t="s">
        <v>35</v>
      </c>
      <c r="F392" s="21" t="s">
        <v>36</v>
      </c>
      <c r="G392" s="21" t="s">
        <v>65</v>
      </c>
      <c r="H392" s="2">
        <v>1</v>
      </c>
      <c r="I392" s="2">
        <v>749</v>
      </c>
      <c r="J392" s="2">
        <v>75</v>
      </c>
      <c r="K392" s="21" t="s">
        <v>97</v>
      </c>
      <c r="L392" s="21" t="s">
        <v>7</v>
      </c>
      <c r="M392" s="21" t="s">
        <v>30</v>
      </c>
      <c r="N392" s="3">
        <v>45665</v>
      </c>
      <c r="O392" s="21" t="s">
        <v>66</v>
      </c>
      <c r="P392" s="21" t="s">
        <v>44</v>
      </c>
      <c r="Q392" s="21" t="s">
        <v>67</v>
      </c>
      <c r="R392" s="2">
        <v>490</v>
      </c>
      <c r="S392" s="2">
        <v>674</v>
      </c>
      <c r="T392" s="2">
        <v>184</v>
      </c>
      <c r="U392" s="4">
        <v>27.299703264094955</v>
      </c>
      <c r="V392" s="21" t="s">
        <v>98</v>
      </c>
      <c r="W392">
        <v>1</v>
      </c>
      <c r="X392">
        <v>20</v>
      </c>
      <c r="Y392" s="20">
        <v>1</v>
      </c>
    </row>
    <row r="393" spans="1:25" x14ac:dyDescent="0.3">
      <c r="A393" s="20" t="s">
        <v>468</v>
      </c>
      <c r="B393" s="21" t="s">
        <v>17</v>
      </c>
      <c r="C393" s="21" t="s">
        <v>227</v>
      </c>
      <c r="D393" s="3">
        <v>45663</v>
      </c>
      <c r="E393" s="21" t="s">
        <v>23</v>
      </c>
      <c r="F393" s="21" t="s">
        <v>24</v>
      </c>
      <c r="G393" s="21" t="s">
        <v>68</v>
      </c>
      <c r="H393" s="2">
        <v>1</v>
      </c>
      <c r="I393" s="2">
        <v>229</v>
      </c>
      <c r="J393" s="2">
        <v>0</v>
      </c>
      <c r="K393" s="21" t="s">
        <v>97</v>
      </c>
      <c r="L393" s="21" t="s">
        <v>7</v>
      </c>
      <c r="M393" s="21" t="s">
        <v>13</v>
      </c>
      <c r="N393" s="3">
        <v>45030</v>
      </c>
      <c r="O393" s="21" t="s">
        <v>69</v>
      </c>
      <c r="P393" s="21" t="s">
        <v>44</v>
      </c>
      <c r="Q393" s="21" t="s">
        <v>70</v>
      </c>
      <c r="R393" s="2">
        <v>110</v>
      </c>
      <c r="S393" s="2">
        <v>229</v>
      </c>
      <c r="T393" s="2">
        <v>119</v>
      </c>
      <c r="U393" s="4">
        <v>51.965065502183407</v>
      </c>
      <c r="V393" s="21" t="s">
        <v>98</v>
      </c>
      <c r="W393">
        <v>1</v>
      </c>
      <c r="X393">
        <v>18</v>
      </c>
      <c r="Y393" s="20">
        <v>1</v>
      </c>
    </row>
    <row r="394" spans="1:25" x14ac:dyDescent="0.3">
      <c r="A394" s="20" t="s">
        <v>468</v>
      </c>
      <c r="B394" s="21" t="s">
        <v>17</v>
      </c>
      <c r="C394" s="21" t="s">
        <v>215</v>
      </c>
      <c r="D394" s="3">
        <v>45664</v>
      </c>
      <c r="E394" s="21" t="s">
        <v>25</v>
      </c>
      <c r="F394" s="21" t="s">
        <v>26</v>
      </c>
      <c r="G394" s="21" t="s">
        <v>71</v>
      </c>
      <c r="H394" s="2">
        <v>1</v>
      </c>
      <c r="I394" s="2">
        <v>459</v>
      </c>
      <c r="J394" s="2">
        <v>46</v>
      </c>
      <c r="K394" s="21" t="s">
        <v>97</v>
      </c>
      <c r="L394" s="21" t="s">
        <v>27</v>
      </c>
      <c r="M394" s="21" t="s">
        <v>13</v>
      </c>
      <c r="N394" s="3">
        <v>45168</v>
      </c>
      <c r="O394" s="21" t="s">
        <v>72</v>
      </c>
      <c r="P394" s="21" t="s">
        <v>48</v>
      </c>
      <c r="Q394" s="21" t="s">
        <v>49</v>
      </c>
      <c r="R394" s="2">
        <v>210</v>
      </c>
      <c r="S394" s="2">
        <v>413</v>
      </c>
      <c r="T394" s="2">
        <v>203</v>
      </c>
      <c r="U394" s="4">
        <v>49.152542372881356</v>
      </c>
      <c r="V394" s="21" t="s">
        <v>98</v>
      </c>
      <c r="W394">
        <v>1</v>
      </c>
      <c r="X394">
        <v>46</v>
      </c>
      <c r="Y394" s="20">
        <v>1</v>
      </c>
    </row>
    <row r="395" spans="1:25" x14ac:dyDescent="0.3">
      <c r="A395" s="20" t="s">
        <v>468</v>
      </c>
      <c r="B395" s="21" t="s">
        <v>17</v>
      </c>
      <c r="C395" s="21" t="s">
        <v>225</v>
      </c>
      <c r="D395" s="3">
        <v>45664</v>
      </c>
      <c r="E395" s="21" t="s">
        <v>101</v>
      </c>
      <c r="F395" s="21" t="s">
        <v>220</v>
      </c>
      <c r="G395" s="21" t="s">
        <v>73</v>
      </c>
      <c r="H395" s="2">
        <v>6</v>
      </c>
      <c r="I395" s="2">
        <v>19</v>
      </c>
      <c r="J395" s="2">
        <v>0</v>
      </c>
      <c r="K395" s="21" t="s">
        <v>97</v>
      </c>
      <c r="L395" s="21" t="s">
        <v>265</v>
      </c>
      <c r="M395" s="21" t="s">
        <v>101</v>
      </c>
      <c r="N395" s="3"/>
      <c r="O395" s="21" t="s">
        <v>74</v>
      </c>
      <c r="P395" s="21" t="s">
        <v>52</v>
      </c>
      <c r="Q395" s="21" t="s">
        <v>62</v>
      </c>
      <c r="R395" s="2">
        <v>8</v>
      </c>
      <c r="S395" s="2">
        <v>114</v>
      </c>
      <c r="T395" s="2">
        <v>66</v>
      </c>
      <c r="U395" s="4">
        <v>57.894736842105267</v>
      </c>
      <c r="V395" s="21" t="s">
        <v>98</v>
      </c>
      <c r="W395">
        <v>1</v>
      </c>
      <c r="X395"/>
      <c r="Y395" s="20"/>
    </row>
    <row r="396" spans="1:25" x14ac:dyDescent="0.3">
      <c r="A396" s="20" t="s">
        <v>468</v>
      </c>
      <c r="B396" s="21" t="s">
        <v>17</v>
      </c>
      <c r="C396" s="21" t="s">
        <v>221</v>
      </c>
      <c r="D396" s="3">
        <v>45665</v>
      </c>
      <c r="E396" s="21" t="s">
        <v>5</v>
      </c>
      <c r="F396" s="21" t="s">
        <v>6</v>
      </c>
      <c r="G396" s="21" t="s">
        <v>75</v>
      </c>
      <c r="H396" s="2">
        <v>1</v>
      </c>
      <c r="I396" s="2">
        <v>599</v>
      </c>
      <c r="J396" s="2">
        <v>0</v>
      </c>
      <c r="K396" s="21" t="s">
        <v>97</v>
      </c>
      <c r="L396" s="21" t="s">
        <v>7</v>
      </c>
      <c r="M396" s="21" t="s">
        <v>8</v>
      </c>
      <c r="N396" s="3">
        <v>44635</v>
      </c>
      <c r="O396" s="21" t="s">
        <v>76</v>
      </c>
      <c r="P396" s="21" t="s">
        <v>44</v>
      </c>
      <c r="Q396" s="21" t="s">
        <v>59</v>
      </c>
      <c r="R396" s="2">
        <v>350</v>
      </c>
      <c r="S396" s="2">
        <v>599</v>
      </c>
      <c r="T396" s="2">
        <v>249</v>
      </c>
      <c r="U396" s="4">
        <v>41.569282136894827</v>
      </c>
      <c r="V396" s="21" t="s">
        <v>98</v>
      </c>
      <c r="W396">
        <v>1</v>
      </c>
      <c r="X396">
        <v>52</v>
      </c>
      <c r="Y396" s="20">
        <v>1</v>
      </c>
    </row>
    <row r="397" spans="1:25" x14ac:dyDescent="0.3">
      <c r="A397" s="20" t="s">
        <v>468</v>
      </c>
      <c r="B397" s="21" t="s">
        <v>17</v>
      </c>
      <c r="C397" s="21" t="s">
        <v>228</v>
      </c>
      <c r="D397" s="3">
        <v>45666</v>
      </c>
      <c r="E397" s="21" t="s">
        <v>15</v>
      </c>
      <c r="F397" s="21" t="s">
        <v>16</v>
      </c>
      <c r="G397" s="21" t="s">
        <v>77</v>
      </c>
      <c r="H397" s="2">
        <v>1</v>
      </c>
      <c r="I397" s="2">
        <v>1099</v>
      </c>
      <c r="J397" s="2">
        <v>110</v>
      </c>
      <c r="K397" s="21" t="s">
        <v>97</v>
      </c>
      <c r="L397" s="21" t="s">
        <v>7</v>
      </c>
      <c r="M397" s="21" t="s">
        <v>13</v>
      </c>
      <c r="N397" s="3">
        <v>44883</v>
      </c>
      <c r="O397" s="21" t="s">
        <v>78</v>
      </c>
      <c r="P397" s="21" t="s">
        <v>48</v>
      </c>
      <c r="Q397" s="21" t="s">
        <v>62</v>
      </c>
      <c r="R397" s="2">
        <v>650</v>
      </c>
      <c r="S397" s="2">
        <v>989</v>
      </c>
      <c r="T397" s="2">
        <v>339</v>
      </c>
      <c r="U397" s="4">
        <v>34.277047522750252</v>
      </c>
      <c r="V397" s="21" t="s">
        <v>98</v>
      </c>
      <c r="W397">
        <v>1</v>
      </c>
      <c r="X397">
        <v>32</v>
      </c>
      <c r="Y397" s="20">
        <v>1</v>
      </c>
    </row>
    <row r="398" spans="1:25" x14ac:dyDescent="0.3">
      <c r="A398" s="20" t="s">
        <v>468</v>
      </c>
      <c r="B398" s="21" t="s">
        <v>17</v>
      </c>
      <c r="C398" s="21" t="s">
        <v>214</v>
      </c>
      <c r="D398" s="3">
        <v>45666</v>
      </c>
      <c r="E398" s="21" t="s">
        <v>21</v>
      </c>
      <c r="F398" s="21" t="s">
        <v>22</v>
      </c>
      <c r="G398" s="21" t="s">
        <v>42</v>
      </c>
      <c r="H398" s="2">
        <v>2</v>
      </c>
      <c r="I398" s="2">
        <v>349</v>
      </c>
      <c r="J398" s="2">
        <v>34.9</v>
      </c>
      <c r="K398" s="21" t="s">
        <v>97</v>
      </c>
      <c r="L398" s="21" t="s">
        <v>7</v>
      </c>
      <c r="M398" s="21" t="s">
        <v>8</v>
      </c>
      <c r="N398" s="3">
        <v>44948</v>
      </c>
      <c r="O398" s="21" t="s">
        <v>43</v>
      </c>
      <c r="P398" s="21" t="s">
        <v>44</v>
      </c>
      <c r="Q398" s="21" t="s">
        <v>45</v>
      </c>
      <c r="R398" s="2">
        <v>165</v>
      </c>
      <c r="S398" s="2">
        <v>663.1</v>
      </c>
      <c r="T398" s="2">
        <v>333.1</v>
      </c>
      <c r="U398" s="4">
        <v>50.233750565525561</v>
      </c>
      <c r="V398" s="21" t="s">
        <v>98</v>
      </c>
      <c r="W398">
        <v>1</v>
      </c>
      <c r="X398">
        <v>32</v>
      </c>
      <c r="Y398" s="20">
        <v>1</v>
      </c>
    </row>
    <row r="399" spans="1:25" x14ac:dyDescent="0.3">
      <c r="A399" s="20" t="s">
        <v>468</v>
      </c>
      <c r="B399" s="21" t="s">
        <v>17</v>
      </c>
      <c r="C399" s="21" t="s">
        <v>230</v>
      </c>
      <c r="D399" s="3">
        <v>45667</v>
      </c>
      <c r="E399" s="21" t="s">
        <v>101</v>
      </c>
      <c r="F399" s="21" t="s">
        <v>220</v>
      </c>
      <c r="G399" s="21" t="s">
        <v>81</v>
      </c>
      <c r="H399" s="2">
        <v>1</v>
      </c>
      <c r="I399" s="2">
        <v>89</v>
      </c>
      <c r="J399" s="2">
        <v>0</v>
      </c>
      <c r="K399" s="21" t="s">
        <v>97</v>
      </c>
      <c r="L399" s="21" t="s">
        <v>265</v>
      </c>
      <c r="M399" s="21" t="s">
        <v>101</v>
      </c>
      <c r="N399" s="3"/>
      <c r="O399" s="21" t="s">
        <v>82</v>
      </c>
      <c r="P399" s="21" t="s">
        <v>52</v>
      </c>
      <c r="Q399" s="21" t="s">
        <v>83</v>
      </c>
      <c r="R399" s="2">
        <v>42</v>
      </c>
      <c r="S399" s="2">
        <v>89</v>
      </c>
      <c r="T399" s="2">
        <v>47</v>
      </c>
      <c r="U399" s="4">
        <v>52.80898876404494</v>
      </c>
      <c r="V399" s="21" t="s">
        <v>98</v>
      </c>
      <c r="W399">
        <v>1</v>
      </c>
      <c r="X399"/>
      <c r="Y399" s="20"/>
    </row>
    <row r="400" spans="1:25" x14ac:dyDescent="0.3">
      <c r="A400" s="20" t="s">
        <v>468</v>
      </c>
      <c r="B400" s="21" t="s">
        <v>17</v>
      </c>
      <c r="C400" s="21" t="s">
        <v>217</v>
      </c>
      <c r="D400" s="3">
        <v>45668</v>
      </c>
      <c r="E400" s="21" t="s">
        <v>18</v>
      </c>
      <c r="F400" s="21" t="s">
        <v>19</v>
      </c>
      <c r="G400" s="21" t="s">
        <v>46</v>
      </c>
      <c r="H400" s="2">
        <v>2</v>
      </c>
      <c r="I400" s="2">
        <v>199</v>
      </c>
      <c r="J400" s="2">
        <v>20</v>
      </c>
      <c r="K400" s="21" t="s">
        <v>97</v>
      </c>
      <c r="L400" s="21" t="s">
        <v>20</v>
      </c>
      <c r="M400" s="21" t="s">
        <v>13</v>
      </c>
      <c r="N400" s="3">
        <v>44931</v>
      </c>
      <c r="O400" s="21" t="s">
        <v>47</v>
      </c>
      <c r="P400" s="21" t="s">
        <v>48</v>
      </c>
      <c r="Q400" s="21" t="s">
        <v>49</v>
      </c>
      <c r="R400" s="2">
        <v>95</v>
      </c>
      <c r="S400" s="2">
        <v>378</v>
      </c>
      <c r="T400" s="2">
        <v>188</v>
      </c>
      <c r="U400" s="4">
        <v>49.735449735449734</v>
      </c>
      <c r="V400" s="21" t="s">
        <v>98</v>
      </c>
      <c r="W400">
        <v>1</v>
      </c>
      <c r="X400">
        <v>35</v>
      </c>
      <c r="Y400" s="20">
        <v>1</v>
      </c>
    </row>
    <row r="401" spans="1:25" x14ac:dyDescent="0.3">
      <c r="A401" s="20" t="s">
        <v>468</v>
      </c>
      <c r="B401" s="21" t="s">
        <v>17</v>
      </c>
      <c r="C401" s="21" t="s">
        <v>229</v>
      </c>
      <c r="D401" s="3">
        <v>45669</v>
      </c>
      <c r="E401" s="21" t="s">
        <v>23</v>
      </c>
      <c r="F401" s="21" t="s">
        <v>24</v>
      </c>
      <c r="G401" s="21" t="s">
        <v>79</v>
      </c>
      <c r="H401" s="2">
        <v>1</v>
      </c>
      <c r="I401" s="2">
        <v>189</v>
      </c>
      <c r="J401" s="2">
        <v>0</v>
      </c>
      <c r="K401" s="21" t="s">
        <v>97</v>
      </c>
      <c r="L401" s="21" t="s">
        <v>7</v>
      </c>
      <c r="M401" s="21" t="s">
        <v>13</v>
      </c>
      <c r="N401" s="3">
        <v>45030</v>
      </c>
      <c r="O401" s="21" t="s">
        <v>80</v>
      </c>
      <c r="P401" s="21" t="s">
        <v>44</v>
      </c>
      <c r="Q401" s="21" t="s">
        <v>70</v>
      </c>
      <c r="R401" s="2">
        <v>95</v>
      </c>
      <c r="S401" s="2">
        <v>189</v>
      </c>
      <c r="T401" s="2">
        <v>94</v>
      </c>
      <c r="U401" s="4">
        <v>49.735449735449734</v>
      </c>
      <c r="V401" s="21" t="s">
        <v>98</v>
      </c>
      <c r="W401">
        <v>1</v>
      </c>
      <c r="X401">
        <v>18</v>
      </c>
      <c r="Y401" s="20">
        <v>1</v>
      </c>
    </row>
    <row r="402" spans="1:25" x14ac:dyDescent="0.3">
      <c r="A402" s="20" t="s">
        <v>468</v>
      </c>
      <c r="B402" s="21" t="s">
        <v>17</v>
      </c>
      <c r="C402" s="21" t="s">
        <v>231</v>
      </c>
      <c r="D402" s="3">
        <v>45669</v>
      </c>
      <c r="E402" s="21" t="s">
        <v>101</v>
      </c>
      <c r="F402" s="21" t="s">
        <v>220</v>
      </c>
      <c r="G402" s="21" t="s">
        <v>50</v>
      </c>
      <c r="H402" s="2">
        <v>3</v>
      </c>
      <c r="I402" s="2">
        <v>45</v>
      </c>
      <c r="J402" s="2">
        <v>0</v>
      </c>
      <c r="K402" s="21" t="s">
        <v>97</v>
      </c>
      <c r="L402" s="21" t="s">
        <v>265</v>
      </c>
      <c r="M402" s="21" t="s">
        <v>101</v>
      </c>
      <c r="N402" s="3"/>
      <c r="O402" s="21" t="s">
        <v>51</v>
      </c>
      <c r="P402" s="21" t="s">
        <v>52</v>
      </c>
      <c r="Q402" s="21" t="s">
        <v>53</v>
      </c>
      <c r="R402" s="2">
        <v>18</v>
      </c>
      <c r="S402" s="2">
        <v>135</v>
      </c>
      <c r="T402" s="2">
        <v>81</v>
      </c>
      <c r="U402" s="4">
        <v>60</v>
      </c>
      <c r="V402" s="21" t="s">
        <v>98</v>
      </c>
      <c r="W402">
        <v>1</v>
      </c>
      <c r="X402"/>
      <c r="Y402" s="20"/>
    </row>
    <row r="403" spans="1:25" x14ac:dyDescent="0.3">
      <c r="A403" s="20" t="s">
        <v>468</v>
      </c>
      <c r="B403" s="21" t="s">
        <v>17</v>
      </c>
      <c r="C403" s="21" t="s">
        <v>232</v>
      </c>
      <c r="D403" s="3">
        <v>45670</v>
      </c>
      <c r="E403" s="21" t="s">
        <v>25</v>
      </c>
      <c r="F403" s="21" t="s">
        <v>26</v>
      </c>
      <c r="G403" s="21" t="s">
        <v>54</v>
      </c>
      <c r="H403" s="2">
        <v>1</v>
      </c>
      <c r="I403" s="2">
        <v>1299</v>
      </c>
      <c r="J403" s="2">
        <v>0</v>
      </c>
      <c r="K403" s="21" t="s">
        <v>97</v>
      </c>
      <c r="L403" s="21" t="s">
        <v>27</v>
      </c>
      <c r="M403" s="21" t="s">
        <v>13</v>
      </c>
      <c r="N403" s="3">
        <v>45168</v>
      </c>
      <c r="O403" s="21" t="s">
        <v>55</v>
      </c>
      <c r="P403" s="21" t="s">
        <v>44</v>
      </c>
      <c r="Q403" s="21" t="s">
        <v>56</v>
      </c>
      <c r="R403" s="2">
        <v>820</v>
      </c>
      <c r="S403" s="2">
        <v>1299</v>
      </c>
      <c r="T403" s="2">
        <v>479</v>
      </c>
      <c r="U403" s="4">
        <v>36.87451886066205</v>
      </c>
      <c r="V403" s="21" t="s">
        <v>98</v>
      </c>
      <c r="W403">
        <v>1</v>
      </c>
      <c r="X403">
        <v>46</v>
      </c>
      <c r="Y403" s="20">
        <v>1</v>
      </c>
    </row>
    <row r="404" spans="1:25" x14ac:dyDescent="0.3">
      <c r="A404" s="20" t="s">
        <v>468</v>
      </c>
      <c r="B404" s="21" t="s">
        <v>17</v>
      </c>
      <c r="C404" s="21" t="s">
        <v>233</v>
      </c>
      <c r="D404" s="3">
        <v>45671</v>
      </c>
      <c r="E404" s="21" t="s">
        <v>5</v>
      </c>
      <c r="F404" s="21" t="s">
        <v>6</v>
      </c>
      <c r="G404" s="21" t="s">
        <v>60</v>
      </c>
      <c r="H404" s="2">
        <v>2</v>
      </c>
      <c r="I404" s="2">
        <v>899</v>
      </c>
      <c r="J404" s="2">
        <v>90</v>
      </c>
      <c r="K404" s="21" t="s">
        <v>97</v>
      </c>
      <c r="L404" s="21" t="s">
        <v>7</v>
      </c>
      <c r="M404" s="21" t="s">
        <v>8</v>
      </c>
      <c r="N404" s="3">
        <v>44635</v>
      </c>
      <c r="O404" s="21" t="s">
        <v>61</v>
      </c>
      <c r="P404" s="21" t="s">
        <v>48</v>
      </c>
      <c r="Q404" s="21" t="s">
        <v>62</v>
      </c>
      <c r="R404" s="2">
        <v>520</v>
      </c>
      <c r="S404" s="2">
        <v>1708</v>
      </c>
      <c r="T404" s="2">
        <v>668</v>
      </c>
      <c r="U404" s="4">
        <v>39.110070257611241</v>
      </c>
      <c r="V404" s="21" t="s">
        <v>98</v>
      </c>
      <c r="W404">
        <v>1</v>
      </c>
      <c r="X404">
        <v>52</v>
      </c>
      <c r="Y404" s="20">
        <v>1</v>
      </c>
    </row>
    <row r="405" spans="1:25" x14ac:dyDescent="0.3">
      <c r="A405" s="20" t="s">
        <v>468</v>
      </c>
      <c r="B405" s="21" t="s">
        <v>17</v>
      </c>
      <c r="C405" s="21" t="s">
        <v>234</v>
      </c>
      <c r="D405" s="3">
        <v>45672</v>
      </c>
      <c r="E405" s="21" t="s">
        <v>101</v>
      </c>
      <c r="F405" s="21" t="s">
        <v>220</v>
      </c>
      <c r="G405" s="21" t="s">
        <v>63</v>
      </c>
      <c r="H405" s="2">
        <v>4</v>
      </c>
      <c r="I405" s="2">
        <v>29</v>
      </c>
      <c r="J405" s="2">
        <v>0</v>
      </c>
      <c r="K405" s="21" t="s">
        <v>97</v>
      </c>
      <c r="L405" s="21" t="s">
        <v>265</v>
      </c>
      <c r="M405" s="21" t="s">
        <v>101</v>
      </c>
      <c r="N405" s="3"/>
      <c r="O405" s="21" t="s">
        <v>64</v>
      </c>
      <c r="P405" s="21" t="s">
        <v>52</v>
      </c>
      <c r="Q405" s="21" t="s">
        <v>62</v>
      </c>
      <c r="R405" s="2">
        <v>11</v>
      </c>
      <c r="S405" s="2">
        <v>116</v>
      </c>
      <c r="T405" s="2">
        <v>72</v>
      </c>
      <c r="U405" s="4">
        <v>62.068965517241381</v>
      </c>
      <c r="V405" s="21" t="s">
        <v>98</v>
      </c>
      <c r="W405">
        <v>1</v>
      </c>
      <c r="X405"/>
      <c r="Y405" s="20"/>
    </row>
    <row r="406" spans="1:25" x14ac:dyDescent="0.3">
      <c r="A406" s="20" t="s">
        <v>468</v>
      </c>
      <c r="B406" s="21" t="s">
        <v>17</v>
      </c>
      <c r="C406" s="21" t="s">
        <v>235</v>
      </c>
      <c r="D406" s="3">
        <v>45673</v>
      </c>
      <c r="E406" s="21" t="s">
        <v>35</v>
      </c>
      <c r="F406" s="21" t="s">
        <v>36</v>
      </c>
      <c r="G406" s="21" t="s">
        <v>65</v>
      </c>
      <c r="H406" s="2">
        <v>2</v>
      </c>
      <c r="I406" s="2">
        <v>749</v>
      </c>
      <c r="J406" s="2">
        <v>75</v>
      </c>
      <c r="K406" s="21" t="s">
        <v>97</v>
      </c>
      <c r="L406" s="21" t="s">
        <v>7</v>
      </c>
      <c r="M406" s="21" t="s">
        <v>30</v>
      </c>
      <c r="N406" s="3">
        <v>45665</v>
      </c>
      <c r="O406" s="21" t="s">
        <v>66</v>
      </c>
      <c r="P406" s="21" t="s">
        <v>44</v>
      </c>
      <c r="Q406" s="21" t="s">
        <v>67</v>
      </c>
      <c r="R406" s="2">
        <v>490</v>
      </c>
      <c r="S406" s="2">
        <v>1423</v>
      </c>
      <c r="T406" s="2">
        <v>443</v>
      </c>
      <c r="U406" s="4">
        <v>31.131412508784255</v>
      </c>
      <c r="V406" s="21" t="s">
        <v>98</v>
      </c>
      <c r="W406">
        <v>1</v>
      </c>
      <c r="X406">
        <v>20</v>
      </c>
      <c r="Y406" s="20">
        <v>1</v>
      </c>
    </row>
    <row r="407" spans="1:25" x14ac:dyDescent="0.3">
      <c r="A407" s="20" t="s">
        <v>468</v>
      </c>
      <c r="B407" s="21" t="s">
        <v>17</v>
      </c>
      <c r="C407" s="21" t="s">
        <v>236</v>
      </c>
      <c r="D407" s="3">
        <v>45674</v>
      </c>
      <c r="E407" s="21" t="s">
        <v>15</v>
      </c>
      <c r="F407" s="21" t="s">
        <v>16</v>
      </c>
      <c r="G407" s="21" t="s">
        <v>71</v>
      </c>
      <c r="H407" s="2">
        <v>1</v>
      </c>
      <c r="I407" s="2">
        <v>459</v>
      </c>
      <c r="J407" s="2">
        <v>0</v>
      </c>
      <c r="K407" s="21" t="s">
        <v>97</v>
      </c>
      <c r="L407" s="21" t="s">
        <v>7</v>
      </c>
      <c r="M407" s="21" t="s">
        <v>13</v>
      </c>
      <c r="N407" s="3">
        <v>44883</v>
      </c>
      <c r="O407" s="21" t="s">
        <v>72</v>
      </c>
      <c r="P407" s="21" t="s">
        <v>48</v>
      </c>
      <c r="Q407" s="21" t="s">
        <v>49</v>
      </c>
      <c r="R407" s="2">
        <v>210</v>
      </c>
      <c r="S407" s="2">
        <v>459</v>
      </c>
      <c r="T407" s="2">
        <v>249</v>
      </c>
      <c r="U407" s="4">
        <v>54.248366013071895</v>
      </c>
      <c r="V407" s="21" t="s">
        <v>98</v>
      </c>
      <c r="W407">
        <v>1</v>
      </c>
      <c r="X407">
        <v>32</v>
      </c>
      <c r="Y407" s="20">
        <v>1</v>
      </c>
    </row>
    <row r="408" spans="1:25" x14ac:dyDescent="0.3">
      <c r="A408" s="20" t="s">
        <v>468</v>
      </c>
      <c r="B408" s="21" t="s">
        <v>17</v>
      </c>
      <c r="C408" s="21" t="s">
        <v>237</v>
      </c>
      <c r="D408" s="3">
        <v>45674</v>
      </c>
      <c r="E408" s="21" t="s">
        <v>18</v>
      </c>
      <c r="F408" s="21" t="s">
        <v>19</v>
      </c>
      <c r="G408" s="21" t="s">
        <v>68</v>
      </c>
      <c r="H408" s="2">
        <v>1</v>
      </c>
      <c r="I408" s="2">
        <v>229</v>
      </c>
      <c r="J408" s="2">
        <v>22.9</v>
      </c>
      <c r="K408" s="21" t="s">
        <v>97</v>
      </c>
      <c r="L408" s="21" t="s">
        <v>20</v>
      </c>
      <c r="M408" s="21" t="s">
        <v>13</v>
      </c>
      <c r="N408" s="3">
        <v>44931</v>
      </c>
      <c r="O408" s="21" t="s">
        <v>69</v>
      </c>
      <c r="P408" s="21" t="s">
        <v>44</v>
      </c>
      <c r="Q408" s="21" t="s">
        <v>70</v>
      </c>
      <c r="R408" s="2">
        <v>110</v>
      </c>
      <c r="S408" s="2">
        <v>206.1</v>
      </c>
      <c r="T408" s="2">
        <v>96.1</v>
      </c>
      <c r="U408" s="4">
        <v>46.62785055798156</v>
      </c>
      <c r="V408" s="21" t="s">
        <v>98</v>
      </c>
      <c r="W408">
        <v>1</v>
      </c>
      <c r="X408">
        <v>35</v>
      </c>
      <c r="Y408" s="20">
        <v>1</v>
      </c>
    </row>
    <row r="409" spans="1:25" x14ac:dyDescent="0.3">
      <c r="A409" s="20" t="s">
        <v>468</v>
      </c>
      <c r="B409" s="21" t="s">
        <v>17</v>
      </c>
      <c r="C409" s="21" t="s">
        <v>238</v>
      </c>
      <c r="D409" s="3">
        <v>45675</v>
      </c>
      <c r="E409" s="21" t="s">
        <v>101</v>
      </c>
      <c r="F409" s="21" t="s">
        <v>220</v>
      </c>
      <c r="G409" s="21" t="s">
        <v>73</v>
      </c>
      <c r="H409" s="2">
        <v>3</v>
      </c>
      <c r="I409" s="2">
        <v>19</v>
      </c>
      <c r="J409" s="2">
        <v>0</v>
      </c>
      <c r="K409" s="21" t="s">
        <v>97</v>
      </c>
      <c r="L409" s="21" t="s">
        <v>265</v>
      </c>
      <c r="M409" s="21" t="s">
        <v>101</v>
      </c>
      <c r="N409" s="3"/>
      <c r="O409" s="21" t="s">
        <v>74</v>
      </c>
      <c r="P409" s="21" t="s">
        <v>52</v>
      </c>
      <c r="Q409" s="21" t="s">
        <v>62</v>
      </c>
      <c r="R409" s="2">
        <v>8</v>
      </c>
      <c r="S409" s="2">
        <v>57</v>
      </c>
      <c r="T409" s="2">
        <v>33</v>
      </c>
      <c r="U409" s="4">
        <v>57.894736842105267</v>
      </c>
      <c r="V409" s="21" t="s">
        <v>98</v>
      </c>
      <c r="W409">
        <v>1</v>
      </c>
      <c r="X409"/>
      <c r="Y409" s="20"/>
    </row>
    <row r="410" spans="1:25" x14ac:dyDescent="0.3">
      <c r="A410" s="20" t="s">
        <v>468</v>
      </c>
      <c r="B410" s="21" t="s">
        <v>17</v>
      </c>
      <c r="C410" s="21" t="s">
        <v>239</v>
      </c>
      <c r="D410" s="3">
        <v>45676</v>
      </c>
      <c r="E410" s="21" t="s">
        <v>23</v>
      </c>
      <c r="F410" s="21" t="s">
        <v>24</v>
      </c>
      <c r="G410" s="21" t="s">
        <v>75</v>
      </c>
      <c r="H410" s="2">
        <v>1</v>
      </c>
      <c r="I410" s="2">
        <v>599</v>
      </c>
      <c r="J410" s="2">
        <v>60</v>
      </c>
      <c r="K410" s="21" t="s">
        <v>97</v>
      </c>
      <c r="L410" s="21" t="s">
        <v>7</v>
      </c>
      <c r="M410" s="21" t="s">
        <v>13</v>
      </c>
      <c r="N410" s="3">
        <v>45030</v>
      </c>
      <c r="O410" s="21" t="s">
        <v>76</v>
      </c>
      <c r="P410" s="21" t="s">
        <v>44</v>
      </c>
      <c r="Q410" s="21" t="s">
        <v>59</v>
      </c>
      <c r="R410" s="2">
        <v>350</v>
      </c>
      <c r="S410" s="2">
        <v>539</v>
      </c>
      <c r="T410" s="2">
        <v>189</v>
      </c>
      <c r="U410" s="4">
        <v>35.064935064935064</v>
      </c>
      <c r="V410" s="21" t="s">
        <v>98</v>
      </c>
      <c r="W410">
        <v>1</v>
      </c>
      <c r="X410">
        <v>18</v>
      </c>
      <c r="Y410" s="20">
        <v>1</v>
      </c>
    </row>
    <row r="411" spans="1:25" x14ac:dyDescent="0.3">
      <c r="A411" s="20" t="s">
        <v>468</v>
      </c>
      <c r="B411" s="21" t="s">
        <v>17</v>
      </c>
      <c r="C411" s="21" t="s">
        <v>240</v>
      </c>
      <c r="D411" s="3">
        <v>45677</v>
      </c>
      <c r="E411" s="21" t="s">
        <v>25</v>
      </c>
      <c r="F411" s="21" t="s">
        <v>26</v>
      </c>
      <c r="G411" s="21" t="s">
        <v>77</v>
      </c>
      <c r="H411" s="2">
        <v>1</v>
      </c>
      <c r="I411" s="2">
        <v>1099</v>
      </c>
      <c r="J411" s="2">
        <v>0</v>
      </c>
      <c r="K411" s="21" t="s">
        <v>97</v>
      </c>
      <c r="L411" s="21" t="s">
        <v>27</v>
      </c>
      <c r="M411" s="21" t="s">
        <v>13</v>
      </c>
      <c r="N411" s="3">
        <v>45168</v>
      </c>
      <c r="O411" s="21" t="s">
        <v>78</v>
      </c>
      <c r="P411" s="21" t="s">
        <v>48</v>
      </c>
      <c r="Q411" s="21" t="s">
        <v>62</v>
      </c>
      <c r="R411" s="2">
        <v>650</v>
      </c>
      <c r="S411" s="2">
        <v>1099</v>
      </c>
      <c r="T411" s="2">
        <v>449</v>
      </c>
      <c r="U411" s="4">
        <v>40.855323020928111</v>
      </c>
      <c r="V411" s="21" t="s">
        <v>98</v>
      </c>
      <c r="W411">
        <v>1</v>
      </c>
      <c r="X411">
        <v>46</v>
      </c>
      <c r="Y411" s="20">
        <v>1</v>
      </c>
    </row>
    <row r="412" spans="1:25" x14ac:dyDescent="0.3">
      <c r="A412" s="20" t="s">
        <v>468</v>
      </c>
      <c r="B412" s="21" t="s">
        <v>17</v>
      </c>
      <c r="C412" s="21" t="s">
        <v>241</v>
      </c>
      <c r="D412" s="3">
        <v>45677</v>
      </c>
      <c r="E412" s="21" t="s">
        <v>101</v>
      </c>
      <c r="F412" s="21" t="s">
        <v>220</v>
      </c>
      <c r="G412" s="21" t="s">
        <v>42</v>
      </c>
      <c r="H412" s="2">
        <v>1</v>
      </c>
      <c r="I412" s="2">
        <v>349</v>
      </c>
      <c r="J412" s="2">
        <v>0</v>
      </c>
      <c r="K412" s="21" t="s">
        <v>97</v>
      </c>
      <c r="L412" s="21" t="s">
        <v>265</v>
      </c>
      <c r="M412" s="21" t="s">
        <v>101</v>
      </c>
      <c r="N412" s="3"/>
      <c r="O412" s="21" t="s">
        <v>43</v>
      </c>
      <c r="P412" s="21" t="s">
        <v>44</v>
      </c>
      <c r="Q412" s="21" t="s">
        <v>45</v>
      </c>
      <c r="R412" s="2">
        <v>165</v>
      </c>
      <c r="S412" s="2">
        <v>349</v>
      </c>
      <c r="T412" s="2">
        <v>184</v>
      </c>
      <c r="U412" s="4">
        <v>52.722063037249278</v>
      </c>
      <c r="V412" s="21" t="s">
        <v>98</v>
      </c>
      <c r="W412">
        <v>1</v>
      </c>
      <c r="X412"/>
      <c r="Y412" s="20"/>
    </row>
    <row r="413" spans="1:25" x14ac:dyDescent="0.3">
      <c r="A413" s="20" t="s">
        <v>468</v>
      </c>
      <c r="B413" s="21" t="s">
        <v>17</v>
      </c>
      <c r="C413" s="21" t="s">
        <v>242</v>
      </c>
      <c r="D413" s="3">
        <v>45678</v>
      </c>
      <c r="E413" s="21" t="s">
        <v>5</v>
      </c>
      <c r="F413" s="21" t="s">
        <v>6</v>
      </c>
      <c r="G413" s="21" t="s">
        <v>81</v>
      </c>
      <c r="H413" s="2">
        <v>2</v>
      </c>
      <c r="I413" s="2">
        <v>89</v>
      </c>
      <c r="J413" s="2">
        <v>8.9</v>
      </c>
      <c r="K413" s="21" t="s">
        <v>97</v>
      </c>
      <c r="L413" s="21" t="s">
        <v>7</v>
      </c>
      <c r="M413" s="21" t="s">
        <v>8</v>
      </c>
      <c r="N413" s="3">
        <v>44635</v>
      </c>
      <c r="O413" s="21" t="s">
        <v>82</v>
      </c>
      <c r="P413" s="21" t="s">
        <v>52</v>
      </c>
      <c r="Q413" s="21" t="s">
        <v>83</v>
      </c>
      <c r="R413" s="2">
        <v>42</v>
      </c>
      <c r="S413" s="2">
        <v>169.1</v>
      </c>
      <c r="T413" s="2">
        <v>85.1</v>
      </c>
      <c r="U413" s="4">
        <v>50.325251330573629</v>
      </c>
      <c r="V413" s="21" t="s">
        <v>98</v>
      </c>
      <c r="W413">
        <v>1</v>
      </c>
      <c r="X413">
        <v>52</v>
      </c>
      <c r="Y413" s="20">
        <v>1</v>
      </c>
    </row>
    <row r="414" spans="1:25" x14ac:dyDescent="0.3">
      <c r="A414" s="20" t="s">
        <v>468</v>
      </c>
      <c r="B414" s="21" t="s">
        <v>17</v>
      </c>
      <c r="C414" s="21" t="s">
        <v>243</v>
      </c>
      <c r="D414" s="3">
        <v>45679</v>
      </c>
      <c r="E414" s="21" t="s">
        <v>21</v>
      </c>
      <c r="F414" s="21" t="s">
        <v>22</v>
      </c>
      <c r="G414" s="21" t="s">
        <v>84</v>
      </c>
      <c r="H414" s="2">
        <v>1</v>
      </c>
      <c r="I414" s="2">
        <v>2199</v>
      </c>
      <c r="J414" s="2">
        <v>220</v>
      </c>
      <c r="K414" s="21" t="s">
        <v>97</v>
      </c>
      <c r="L414" s="21" t="s">
        <v>7</v>
      </c>
      <c r="M414" s="21" t="s">
        <v>8</v>
      </c>
      <c r="N414" s="3">
        <v>44948</v>
      </c>
      <c r="O414" s="21" t="s">
        <v>85</v>
      </c>
      <c r="P414" s="21" t="s">
        <v>44</v>
      </c>
      <c r="Q414" s="21" t="s">
        <v>56</v>
      </c>
      <c r="R414" s="2">
        <v>1380</v>
      </c>
      <c r="S414" s="2">
        <v>1979</v>
      </c>
      <c r="T414" s="2">
        <v>599</v>
      </c>
      <c r="U414" s="4">
        <v>30.267812026275898</v>
      </c>
      <c r="V414" s="21" t="s">
        <v>98</v>
      </c>
      <c r="W414">
        <v>1</v>
      </c>
      <c r="X414">
        <v>32</v>
      </c>
      <c r="Y414" s="20">
        <v>1</v>
      </c>
    </row>
    <row r="415" spans="1:25" x14ac:dyDescent="0.3">
      <c r="A415" s="20" t="s">
        <v>468</v>
      </c>
      <c r="B415" s="21" t="s">
        <v>17</v>
      </c>
      <c r="C415" s="21" t="s">
        <v>244</v>
      </c>
      <c r="D415" s="3">
        <v>45679</v>
      </c>
      <c r="E415" s="21" t="s">
        <v>35</v>
      </c>
      <c r="F415" s="21" t="s">
        <v>36</v>
      </c>
      <c r="G415" s="21" t="s">
        <v>46</v>
      </c>
      <c r="H415" s="2">
        <v>2</v>
      </c>
      <c r="I415" s="2">
        <v>199</v>
      </c>
      <c r="J415" s="2">
        <v>0</v>
      </c>
      <c r="K415" s="21" t="s">
        <v>97</v>
      </c>
      <c r="L415" s="21" t="s">
        <v>7</v>
      </c>
      <c r="M415" s="21" t="s">
        <v>30</v>
      </c>
      <c r="N415" s="3">
        <v>45665</v>
      </c>
      <c r="O415" s="21" t="s">
        <v>47</v>
      </c>
      <c r="P415" s="21" t="s">
        <v>48</v>
      </c>
      <c r="Q415" s="21" t="s">
        <v>49</v>
      </c>
      <c r="R415" s="2">
        <v>95</v>
      </c>
      <c r="S415" s="2">
        <v>398</v>
      </c>
      <c r="T415" s="2">
        <v>208</v>
      </c>
      <c r="U415" s="4">
        <v>52.261306532663319</v>
      </c>
      <c r="V415" s="21" t="s">
        <v>98</v>
      </c>
      <c r="W415">
        <v>1</v>
      </c>
      <c r="X415">
        <v>20</v>
      </c>
      <c r="Y415" s="20">
        <v>1</v>
      </c>
    </row>
    <row r="416" spans="1:25" x14ac:dyDescent="0.3">
      <c r="A416" s="20" t="s">
        <v>468</v>
      </c>
      <c r="B416" s="21" t="s">
        <v>17</v>
      </c>
      <c r="C416" s="21" t="s">
        <v>245</v>
      </c>
      <c r="D416" s="3">
        <v>45680</v>
      </c>
      <c r="E416" s="21" t="s">
        <v>101</v>
      </c>
      <c r="F416" s="21" t="s">
        <v>220</v>
      </c>
      <c r="G416" s="21" t="s">
        <v>79</v>
      </c>
      <c r="H416" s="2">
        <v>1</v>
      </c>
      <c r="I416" s="2">
        <v>189</v>
      </c>
      <c r="J416" s="2">
        <v>19</v>
      </c>
      <c r="K416" s="21" t="s">
        <v>97</v>
      </c>
      <c r="L416" s="21" t="s">
        <v>265</v>
      </c>
      <c r="M416" s="21" t="s">
        <v>101</v>
      </c>
      <c r="N416" s="3"/>
      <c r="O416" s="21" t="s">
        <v>80</v>
      </c>
      <c r="P416" s="21" t="s">
        <v>44</v>
      </c>
      <c r="Q416" s="21" t="s">
        <v>70</v>
      </c>
      <c r="R416" s="2">
        <v>95</v>
      </c>
      <c r="S416" s="2">
        <v>170</v>
      </c>
      <c r="T416" s="2">
        <v>75</v>
      </c>
      <c r="U416" s="4">
        <v>44.117647058823529</v>
      </c>
      <c r="V416" s="21" t="s">
        <v>98</v>
      </c>
      <c r="W416">
        <v>1</v>
      </c>
      <c r="X416"/>
      <c r="Y416" s="20"/>
    </row>
    <row r="417" spans="1:25" x14ac:dyDescent="0.3">
      <c r="A417" s="20" t="s">
        <v>468</v>
      </c>
      <c r="B417" s="21" t="s">
        <v>17</v>
      </c>
      <c r="C417" s="21" t="s">
        <v>246</v>
      </c>
      <c r="D417" s="3">
        <v>45681</v>
      </c>
      <c r="E417" s="21" t="s">
        <v>18</v>
      </c>
      <c r="F417" s="21" t="s">
        <v>19</v>
      </c>
      <c r="G417" s="21" t="s">
        <v>50</v>
      </c>
      <c r="H417" s="2">
        <v>3</v>
      </c>
      <c r="I417" s="2">
        <v>45</v>
      </c>
      <c r="J417" s="2">
        <v>0</v>
      </c>
      <c r="K417" s="21" t="s">
        <v>97</v>
      </c>
      <c r="L417" s="21" t="s">
        <v>20</v>
      </c>
      <c r="M417" s="21" t="s">
        <v>13</v>
      </c>
      <c r="N417" s="3">
        <v>44931</v>
      </c>
      <c r="O417" s="21" t="s">
        <v>51</v>
      </c>
      <c r="P417" s="21" t="s">
        <v>52</v>
      </c>
      <c r="Q417" s="21" t="s">
        <v>53</v>
      </c>
      <c r="R417" s="2">
        <v>18</v>
      </c>
      <c r="S417" s="2">
        <v>135</v>
      </c>
      <c r="T417" s="2">
        <v>81</v>
      </c>
      <c r="U417" s="4">
        <v>60</v>
      </c>
      <c r="V417" s="21" t="s">
        <v>98</v>
      </c>
      <c r="W417">
        <v>1</v>
      </c>
      <c r="X417">
        <v>35</v>
      </c>
      <c r="Y417" s="20">
        <v>1</v>
      </c>
    </row>
    <row r="418" spans="1:25" x14ac:dyDescent="0.3">
      <c r="A418" s="20" t="s">
        <v>468</v>
      </c>
      <c r="B418" s="21" t="s">
        <v>17</v>
      </c>
      <c r="C418" s="21" t="s">
        <v>247</v>
      </c>
      <c r="D418" s="3">
        <v>45681</v>
      </c>
      <c r="E418" s="21" t="s">
        <v>15</v>
      </c>
      <c r="F418" s="21" t="s">
        <v>16</v>
      </c>
      <c r="G418" s="21" t="s">
        <v>54</v>
      </c>
      <c r="H418" s="2">
        <v>1</v>
      </c>
      <c r="I418" s="2">
        <v>1299</v>
      </c>
      <c r="J418" s="2">
        <v>130</v>
      </c>
      <c r="K418" s="21" t="s">
        <v>97</v>
      </c>
      <c r="L418" s="21" t="s">
        <v>7</v>
      </c>
      <c r="M418" s="21" t="s">
        <v>13</v>
      </c>
      <c r="N418" s="3">
        <v>44883</v>
      </c>
      <c r="O418" s="21" t="s">
        <v>55</v>
      </c>
      <c r="P418" s="21" t="s">
        <v>44</v>
      </c>
      <c r="Q418" s="21" t="s">
        <v>56</v>
      </c>
      <c r="R418" s="2">
        <v>820</v>
      </c>
      <c r="S418" s="2">
        <v>1169</v>
      </c>
      <c r="T418" s="2">
        <v>349</v>
      </c>
      <c r="U418" s="4">
        <v>29.854576561163388</v>
      </c>
      <c r="V418" s="21" t="s">
        <v>98</v>
      </c>
      <c r="W418">
        <v>1</v>
      </c>
      <c r="X418">
        <v>32</v>
      </c>
      <c r="Y418" s="20">
        <v>1</v>
      </c>
    </row>
    <row r="419" spans="1:25" x14ac:dyDescent="0.3">
      <c r="A419" s="20" t="s">
        <v>468</v>
      </c>
      <c r="B419" s="21" t="s">
        <v>17</v>
      </c>
      <c r="C419" s="21" t="s">
        <v>248</v>
      </c>
      <c r="D419" s="3">
        <v>45682</v>
      </c>
      <c r="E419" s="21" t="s">
        <v>23</v>
      </c>
      <c r="F419" s="21" t="s">
        <v>24</v>
      </c>
      <c r="G419" s="21" t="s">
        <v>60</v>
      </c>
      <c r="H419" s="2">
        <v>1</v>
      </c>
      <c r="I419" s="2">
        <v>899</v>
      </c>
      <c r="J419" s="2">
        <v>0</v>
      </c>
      <c r="K419" s="21" t="s">
        <v>97</v>
      </c>
      <c r="L419" s="21" t="s">
        <v>7</v>
      </c>
      <c r="M419" s="21" t="s">
        <v>13</v>
      </c>
      <c r="N419" s="3">
        <v>45030</v>
      </c>
      <c r="O419" s="21" t="s">
        <v>61</v>
      </c>
      <c r="P419" s="21" t="s">
        <v>48</v>
      </c>
      <c r="Q419" s="21" t="s">
        <v>62</v>
      </c>
      <c r="R419" s="2">
        <v>520</v>
      </c>
      <c r="S419" s="2">
        <v>899</v>
      </c>
      <c r="T419" s="2">
        <v>379</v>
      </c>
      <c r="U419" s="4">
        <v>42.157953281423808</v>
      </c>
      <c r="V419" s="21" t="s">
        <v>98</v>
      </c>
      <c r="W419">
        <v>1</v>
      </c>
      <c r="X419">
        <v>18</v>
      </c>
      <c r="Y419" s="20">
        <v>1</v>
      </c>
    </row>
    <row r="420" spans="1:25" x14ac:dyDescent="0.3">
      <c r="A420" s="20" t="s">
        <v>468</v>
      </c>
      <c r="B420" s="21" t="s">
        <v>17</v>
      </c>
      <c r="C420" s="21" t="s">
        <v>249</v>
      </c>
      <c r="D420" s="3">
        <v>45683</v>
      </c>
      <c r="E420" s="21" t="s">
        <v>101</v>
      </c>
      <c r="F420" s="21" t="s">
        <v>220</v>
      </c>
      <c r="G420" s="21" t="s">
        <v>57</v>
      </c>
      <c r="H420" s="2">
        <v>2</v>
      </c>
      <c r="I420" s="2">
        <v>529</v>
      </c>
      <c r="J420" s="2">
        <v>0</v>
      </c>
      <c r="K420" s="21" t="s">
        <v>97</v>
      </c>
      <c r="L420" s="21" t="s">
        <v>265</v>
      </c>
      <c r="M420" s="21" t="s">
        <v>101</v>
      </c>
      <c r="N420" s="3"/>
      <c r="O420" s="21" t="s">
        <v>58</v>
      </c>
      <c r="P420" s="21" t="s">
        <v>44</v>
      </c>
      <c r="Q420" s="21" t="s">
        <v>59</v>
      </c>
      <c r="R420" s="2">
        <v>260</v>
      </c>
      <c r="S420" s="2">
        <v>1058</v>
      </c>
      <c r="T420" s="2">
        <v>538</v>
      </c>
      <c r="U420" s="4">
        <v>50.850661625708881</v>
      </c>
      <c r="V420" s="21" t="s">
        <v>98</v>
      </c>
      <c r="W420">
        <v>1</v>
      </c>
      <c r="X420"/>
      <c r="Y420" s="20"/>
    </row>
    <row r="421" spans="1:25" x14ac:dyDescent="0.3">
      <c r="A421" s="20" t="s">
        <v>468</v>
      </c>
      <c r="B421" s="21" t="s">
        <v>17</v>
      </c>
      <c r="C421" s="21" t="s">
        <v>250</v>
      </c>
      <c r="D421" s="3">
        <v>45683</v>
      </c>
      <c r="E421" s="21" t="s">
        <v>25</v>
      </c>
      <c r="F421" s="21" t="s">
        <v>26</v>
      </c>
      <c r="G421" s="21" t="s">
        <v>63</v>
      </c>
      <c r="H421" s="2">
        <v>5</v>
      </c>
      <c r="I421" s="2">
        <v>29</v>
      </c>
      <c r="J421" s="2">
        <v>0</v>
      </c>
      <c r="K421" s="21" t="s">
        <v>97</v>
      </c>
      <c r="L421" s="21" t="s">
        <v>27</v>
      </c>
      <c r="M421" s="21" t="s">
        <v>13</v>
      </c>
      <c r="N421" s="3">
        <v>45168</v>
      </c>
      <c r="O421" s="21" t="s">
        <v>64</v>
      </c>
      <c r="P421" s="21" t="s">
        <v>52</v>
      </c>
      <c r="Q421" s="21" t="s">
        <v>62</v>
      </c>
      <c r="R421" s="2">
        <v>11</v>
      </c>
      <c r="S421" s="2">
        <v>145</v>
      </c>
      <c r="T421" s="2">
        <v>90</v>
      </c>
      <c r="U421" s="4">
        <v>62.068965517241381</v>
      </c>
      <c r="V421" s="21" t="s">
        <v>98</v>
      </c>
      <c r="W421">
        <v>1</v>
      </c>
      <c r="X421">
        <v>46</v>
      </c>
      <c r="Y421" s="20">
        <v>1</v>
      </c>
    </row>
    <row r="422" spans="1:25" x14ac:dyDescent="0.3">
      <c r="A422" s="20" t="s">
        <v>468</v>
      </c>
      <c r="B422" s="21" t="s">
        <v>17</v>
      </c>
      <c r="C422" s="21" t="s">
        <v>251</v>
      </c>
      <c r="D422" s="3">
        <v>45684</v>
      </c>
      <c r="E422" s="21" t="s">
        <v>5</v>
      </c>
      <c r="F422" s="21" t="s">
        <v>6</v>
      </c>
      <c r="G422" s="21" t="s">
        <v>75</v>
      </c>
      <c r="H422" s="2">
        <v>1</v>
      </c>
      <c r="I422" s="2">
        <v>599</v>
      </c>
      <c r="J422" s="2">
        <v>59.9</v>
      </c>
      <c r="K422" s="21" t="s">
        <v>97</v>
      </c>
      <c r="L422" s="21" t="s">
        <v>7</v>
      </c>
      <c r="M422" s="21" t="s">
        <v>8</v>
      </c>
      <c r="N422" s="3">
        <v>44635</v>
      </c>
      <c r="O422" s="21" t="s">
        <v>76</v>
      </c>
      <c r="P422" s="21" t="s">
        <v>44</v>
      </c>
      <c r="Q422" s="21" t="s">
        <v>59</v>
      </c>
      <c r="R422" s="2">
        <v>350</v>
      </c>
      <c r="S422" s="2">
        <v>539.1</v>
      </c>
      <c r="T422" s="2">
        <v>189.10000000000002</v>
      </c>
      <c r="U422" s="4">
        <v>35.076980152105364</v>
      </c>
      <c r="V422" s="21" t="s">
        <v>98</v>
      </c>
      <c r="W422">
        <v>1</v>
      </c>
      <c r="X422">
        <v>52</v>
      </c>
      <c r="Y422" s="20">
        <v>1</v>
      </c>
    </row>
    <row r="423" spans="1:25" x14ac:dyDescent="0.3">
      <c r="A423" s="20" t="s">
        <v>468</v>
      </c>
      <c r="B423" s="21" t="s">
        <v>17</v>
      </c>
      <c r="C423" s="21" t="s">
        <v>252</v>
      </c>
      <c r="D423" s="3">
        <v>45684</v>
      </c>
      <c r="E423" s="21" t="s">
        <v>21</v>
      </c>
      <c r="F423" s="21" t="s">
        <v>22</v>
      </c>
      <c r="G423" s="21" t="s">
        <v>71</v>
      </c>
      <c r="H423" s="2">
        <v>1</v>
      </c>
      <c r="I423" s="2">
        <v>459</v>
      </c>
      <c r="J423" s="2">
        <v>46</v>
      </c>
      <c r="K423" s="21" t="s">
        <v>97</v>
      </c>
      <c r="L423" s="21" t="s">
        <v>7</v>
      </c>
      <c r="M423" s="21" t="s">
        <v>8</v>
      </c>
      <c r="N423" s="3">
        <v>44948</v>
      </c>
      <c r="O423" s="21" t="s">
        <v>72</v>
      </c>
      <c r="P423" s="21" t="s">
        <v>48</v>
      </c>
      <c r="Q423" s="21" t="s">
        <v>49</v>
      </c>
      <c r="R423" s="2">
        <v>210</v>
      </c>
      <c r="S423" s="2">
        <v>413</v>
      </c>
      <c r="T423" s="2">
        <v>203</v>
      </c>
      <c r="U423" s="4">
        <v>49.152542372881356</v>
      </c>
      <c r="V423" s="21" t="s">
        <v>98</v>
      </c>
      <c r="W423">
        <v>1</v>
      </c>
      <c r="X423">
        <v>32</v>
      </c>
      <c r="Y423" s="20">
        <v>1</v>
      </c>
    </row>
    <row r="424" spans="1:25" x14ac:dyDescent="0.3">
      <c r="A424" s="20" t="s">
        <v>468</v>
      </c>
      <c r="B424" s="21" t="s">
        <v>17</v>
      </c>
      <c r="C424" s="21" t="s">
        <v>253</v>
      </c>
      <c r="D424" s="3">
        <v>45685</v>
      </c>
      <c r="E424" s="21" t="s">
        <v>101</v>
      </c>
      <c r="F424" s="21" t="s">
        <v>220</v>
      </c>
      <c r="G424" s="21" t="s">
        <v>73</v>
      </c>
      <c r="H424" s="2">
        <v>4</v>
      </c>
      <c r="I424" s="2">
        <v>19</v>
      </c>
      <c r="J424" s="2">
        <v>0</v>
      </c>
      <c r="K424" s="21" t="s">
        <v>97</v>
      </c>
      <c r="L424" s="21" t="s">
        <v>265</v>
      </c>
      <c r="M424" s="21" t="s">
        <v>101</v>
      </c>
      <c r="N424" s="3"/>
      <c r="O424" s="21" t="s">
        <v>74</v>
      </c>
      <c r="P424" s="21" t="s">
        <v>52</v>
      </c>
      <c r="Q424" s="21" t="s">
        <v>62</v>
      </c>
      <c r="R424" s="2">
        <v>8</v>
      </c>
      <c r="S424" s="2">
        <v>76</v>
      </c>
      <c r="T424" s="2">
        <v>44</v>
      </c>
      <c r="U424" s="4">
        <v>57.894736842105267</v>
      </c>
      <c r="V424" s="21" t="s">
        <v>98</v>
      </c>
      <c r="W424">
        <v>1</v>
      </c>
      <c r="X424"/>
      <c r="Y424" s="20"/>
    </row>
    <row r="425" spans="1:25" x14ac:dyDescent="0.3">
      <c r="A425" s="20" t="s">
        <v>468</v>
      </c>
      <c r="B425" s="21" t="s">
        <v>17</v>
      </c>
      <c r="C425" s="21" t="s">
        <v>254</v>
      </c>
      <c r="D425" s="3">
        <v>45686</v>
      </c>
      <c r="E425" s="21" t="s">
        <v>35</v>
      </c>
      <c r="F425" s="21" t="s">
        <v>36</v>
      </c>
      <c r="G425" s="21" t="s">
        <v>68</v>
      </c>
      <c r="H425" s="2">
        <v>1</v>
      </c>
      <c r="I425" s="2">
        <v>229</v>
      </c>
      <c r="J425" s="2">
        <v>0</v>
      </c>
      <c r="K425" s="21" t="s">
        <v>97</v>
      </c>
      <c r="L425" s="21" t="s">
        <v>7</v>
      </c>
      <c r="M425" s="21" t="s">
        <v>30</v>
      </c>
      <c r="N425" s="3">
        <v>45665</v>
      </c>
      <c r="O425" s="21" t="s">
        <v>69</v>
      </c>
      <c r="P425" s="21" t="s">
        <v>44</v>
      </c>
      <c r="Q425" s="21" t="s">
        <v>70</v>
      </c>
      <c r="R425" s="2">
        <v>110</v>
      </c>
      <c r="S425" s="2">
        <v>229</v>
      </c>
      <c r="T425" s="2">
        <v>119</v>
      </c>
      <c r="U425" s="4">
        <v>51.965065502183407</v>
      </c>
      <c r="V425" s="21" t="s">
        <v>98</v>
      </c>
      <c r="W425">
        <v>1</v>
      </c>
      <c r="X425">
        <v>20</v>
      </c>
      <c r="Y425" s="20">
        <v>1</v>
      </c>
    </row>
    <row r="426" spans="1:25" x14ac:dyDescent="0.3">
      <c r="A426" s="20" t="s">
        <v>468</v>
      </c>
      <c r="B426" s="21" t="s">
        <v>17</v>
      </c>
      <c r="C426" s="21" t="s">
        <v>255</v>
      </c>
      <c r="D426" s="3">
        <v>45686</v>
      </c>
      <c r="E426" s="21" t="s">
        <v>18</v>
      </c>
      <c r="F426" s="21" t="s">
        <v>19</v>
      </c>
      <c r="G426" s="21" t="s">
        <v>65</v>
      </c>
      <c r="H426" s="2">
        <v>1</v>
      </c>
      <c r="I426" s="2">
        <v>749</v>
      </c>
      <c r="J426" s="2">
        <v>74.900000000000006</v>
      </c>
      <c r="K426" s="21" t="s">
        <v>97</v>
      </c>
      <c r="L426" s="21" t="s">
        <v>20</v>
      </c>
      <c r="M426" s="21" t="s">
        <v>13</v>
      </c>
      <c r="N426" s="3">
        <v>44931</v>
      </c>
      <c r="O426" s="21" t="s">
        <v>66</v>
      </c>
      <c r="P426" s="21" t="s">
        <v>44</v>
      </c>
      <c r="Q426" s="21" t="s">
        <v>67</v>
      </c>
      <c r="R426" s="2">
        <v>490</v>
      </c>
      <c r="S426" s="2">
        <v>674.1</v>
      </c>
      <c r="T426" s="2">
        <v>184.10000000000002</v>
      </c>
      <c r="U426" s="4">
        <v>27.310488058151609</v>
      </c>
      <c r="V426" s="21" t="s">
        <v>98</v>
      </c>
      <c r="W426">
        <v>1</v>
      </c>
      <c r="X426">
        <v>35</v>
      </c>
      <c r="Y426" s="20">
        <v>1</v>
      </c>
    </row>
    <row r="427" spans="1:25" x14ac:dyDescent="0.3">
      <c r="A427" s="20" t="s">
        <v>468</v>
      </c>
      <c r="B427" s="21" t="s">
        <v>17</v>
      </c>
      <c r="C427" s="21" t="s">
        <v>256</v>
      </c>
      <c r="D427" s="3">
        <v>45687</v>
      </c>
      <c r="E427" s="21" t="s">
        <v>15</v>
      </c>
      <c r="F427" s="21" t="s">
        <v>16</v>
      </c>
      <c r="G427" s="21" t="s">
        <v>81</v>
      </c>
      <c r="H427" s="2">
        <v>2</v>
      </c>
      <c r="I427" s="2">
        <v>89</v>
      </c>
      <c r="J427" s="2">
        <v>0</v>
      </c>
      <c r="K427" s="21" t="s">
        <v>97</v>
      </c>
      <c r="L427" s="21" t="s">
        <v>7</v>
      </c>
      <c r="M427" s="21" t="s">
        <v>13</v>
      </c>
      <c r="N427" s="3">
        <v>44883</v>
      </c>
      <c r="O427" s="21" t="s">
        <v>82</v>
      </c>
      <c r="P427" s="21" t="s">
        <v>52</v>
      </c>
      <c r="Q427" s="21" t="s">
        <v>83</v>
      </c>
      <c r="R427" s="2">
        <v>42</v>
      </c>
      <c r="S427" s="2">
        <v>178</v>
      </c>
      <c r="T427" s="2">
        <v>94</v>
      </c>
      <c r="U427" s="4">
        <v>52.80898876404494</v>
      </c>
      <c r="V427" s="21" t="s">
        <v>98</v>
      </c>
      <c r="W427">
        <v>1</v>
      </c>
      <c r="X427">
        <v>32</v>
      </c>
      <c r="Y427" s="20">
        <v>1</v>
      </c>
    </row>
    <row r="428" spans="1:25" x14ac:dyDescent="0.3">
      <c r="A428" s="20" t="s">
        <v>468</v>
      </c>
      <c r="B428" s="21" t="s">
        <v>17</v>
      </c>
      <c r="C428" s="21" t="s">
        <v>257</v>
      </c>
      <c r="D428" s="3">
        <v>45687</v>
      </c>
      <c r="E428" s="21" t="s">
        <v>23</v>
      </c>
      <c r="F428" s="21" t="s">
        <v>24</v>
      </c>
      <c r="G428" s="21" t="s">
        <v>77</v>
      </c>
      <c r="H428" s="2">
        <v>1</v>
      </c>
      <c r="I428" s="2">
        <v>1099</v>
      </c>
      <c r="J428" s="2">
        <v>110</v>
      </c>
      <c r="K428" s="21" t="s">
        <v>97</v>
      </c>
      <c r="L428" s="21" t="s">
        <v>7</v>
      </c>
      <c r="M428" s="21" t="s">
        <v>13</v>
      </c>
      <c r="N428" s="3">
        <v>45030</v>
      </c>
      <c r="O428" s="21" t="s">
        <v>78</v>
      </c>
      <c r="P428" s="21" t="s">
        <v>48</v>
      </c>
      <c r="Q428" s="21" t="s">
        <v>62</v>
      </c>
      <c r="R428" s="2">
        <v>650</v>
      </c>
      <c r="S428" s="2">
        <v>989</v>
      </c>
      <c r="T428" s="2">
        <v>339</v>
      </c>
      <c r="U428" s="4">
        <v>34.277047522750252</v>
      </c>
      <c r="V428" s="21" t="s">
        <v>98</v>
      </c>
      <c r="W428">
        <v>1</v>
      </c>
      <c r="X428">
        <v>18</v>
      </c>
      <c r="Y428" s="20">
        <v>1</v>
      </c>
    </row>
    <row r="429" spans="1:25" x14ac:dyDescent="0.3">
      <c r="A429" s="20" t="s">
        <v>468</v>
      </c>
      <c r="B429" s="21" t="s">
        <v>17</v>
      </c>
      <c r="C429" s="21" t="s">
        <v>258</v>
      </c>
      <c r="D429" s="3">
        <v>45688</v>
      </c>
      <c r="E429" s="21" t="s">
        <v>101</v>
      </c>
      <c r="F429" s="21" t="s">
        <v>220</v>
      </c>
      <c r="G429" s="21" t="s">
        <v>42</v>
      </c>
      <c r="H429" s="2">
        <v>2</v>
      </c>
      <c r="I429" s="2">
        <v>349</v>
      </c>
      <c r="J429" s="2">
        <v>35</v>
      </c>
      <c r="K429" s="21" t="s">
        <v>97</v>
      </c>
      <c r="L429" s="21" t="s">
        <v>265</v>
      </c>
      <c r="M429" s="21" t="s">
        <v>101</v>
      </c>
      <c r="N429" s="3"/>
      <c r="O429" s="21" t="s">
        <v>43</v>
      </c>
      <c r="P429" s="21" t="s">
        <v>44</v>
      </c>
      <c r="Q429" s="21" t="s">
        <v>45</v>
      </c>
      <c r="R429" s="2">
        <v>165</v>
      </c>
      <c r="S429" s="2">
        <v>663</v>
      </c>
      <c r="T429" s="2">
        <v>333</v>
      </c>
      <c r="U429" s="4">
        <v>50.226244343891402</v>
      </c>
      <c r="V429" s="21" t="s">
        <v>98</v>
      </c>
      <c r="W429">
        <v>1</v>
      </c>
      <c r="X429"/>
      <c r="Y429" s="20"/>
    </row>
    <row r="430" spans="1:25" x14ac:dyDescent="0.3">
      <c r="A430" s="20" t="s">
        <v>468</v>
      </c>
      <c r="B430" s="21" t="s">
        <v>17</v>
      </c>
      <c r="C430" s="21" t="s">
        <v>259</v>
      </c>
      <c r="D430" s="3">
        <v>45688</v>
      </c>
      <c r="E430" s="21" t="s">
        <v>25</v>
      </c>
      <c r="F430" s="21" t="s">
        <v>26</v>
      </c>
      <c r="G430" s="21" t="s">
        <v>84</v>
      </c>
      <c r="H430" s="2">
        <v>1</v>
      </c>
      <c r="I430" s="2">
        <v>2199</v>
      </c>
      <c r="J430" s="2">
        <v>0</v>
      </c>
      <c r="K430" s="21" t="s">
        <v>97</v>
      </c>
      <c r="L430" s="21" t="s">
        <v>27</v>
      </c>
      <c r="M430" s="21" t="s">
        <v>13</v>
      </c>
      <c r="N430" s="3">
        <v>45168</v>
      </c>
      <c r="O430" s="21" t="s">
        <v>85</v>
      </c>
      <c r="P430" s="21" t="s">
        <v>44</v>
      </c>
      <c r="Q430" s="21" t="s">
        <v>56</v>
      </c>
      <c r="R430" s="2">
        <v>1380</v>
      </c>
      <c r="S430" s="2">
        <v>2199</v>
      </c>
      <c r="T430" s="2">
        <v>819</v>
      </c>
      <c r="U430" s="4">
        <v>37.244201909959074</v>
      </c>
      <c r="V430" s="21" t="s">
        <v>98</v>
      </c>
      <c r="W430">
        <v>1</v>
      </c>
      <c r="X430">
        <v>46</v>
      </c>
      <c r="Y430" s="20">
        <v>1</v>
      </c>
    </row>
    <row r="431" spans="1:25" x14ac:dyDescent="0.3">
      <c r="A431" s="20" t="s">
        <v>611</v>
      </c>
      <c r="B431" s="21" t="s">
        <v>17</v>
      </c>
      <c r="C431" s="21" t="s">
        <v>612</v>
      </c>
      <c r="D431" s="3">
        <v>45717</v>
      </c>
      <c r="E431" s="21" t="s">
        <v>25</v>
      </c>
      <c r="F431" s="21" t="s">
        <v>26</v>
      </c>
      <c r="G431" s="21" t="s">
        <v>42</v>
      </c>
      <c r="H431" s="2">
        <v>2</v>
      </c>
      <c r="I431" s="2">
        <v>349</v>
      </c>
      <c r="J431" s="2">
        <v>34.9</v>
      </c>
      <c r="K431" s="21" t="s">
        <v>97</v>
      </c>
      <c r="L431" s="21" t="s">
        <v>27</v>
      </c>
      <c r="M431" s="21" t="s">
        <v>13</v>
      </c>
      <c r="N431" s="3">
        <v>45168</v>
      </c>
      <c r="O431" s="21" t="s">
        <v>43</v>
      </c>
      <c r="P431" s="21" t="s">
        <v>44</v>
      </c>
      <c r="Q431" s="21" t="s">
        <v>45</v>
      </c>
      <c r="R431" s="2">
        <v>165</v>
      </c>
      <c r="S431" s="2">
        <v>663.1</v>
      </c>
      <c r="T431" s="2">
        <v>333.1</v>
      </c>
      <c r="U431" s="4">
        <v>50.233750565525561</v>
      </c>
      <c r="V431" s="21" t="s">
        <v>471</v>
      </c>
      <c r="W431">
        <v>1</v>
      </c>
      <c r="X431">
        <v>46</v>
      </c>
      <c r="Y431" s="20">
        <v>1</v>
      </c>
    </row>
    <row r="432" spans="1:25" x14ac:dyDescent="0.3">
      <c r="A432" s="20" t="s">
        <v>611</v>
      </c>
      <c r="B432" s="21" t="s">
        <v>17</v>
      </c>
      <c r="C432" s="21" t="s">
        <v>613</v>
      </c>
      <c r="D432" s="3">
        <v>45717</v>
      </c>
      <c r="E432" s="21" t="s">
        <v>35</v>
      </c>
      <c r="F432" s="21" t="s">
        <v>36</v>
      </c>
      <c r="G432" s="21" t="s">
        <v>60</v>
      </c>
      <c r="H432" s="2">
        <v>1</v>
      </c>
      <c r="I432" s="2">
        <v>899</v>
      </c>
      <c r="J432" s="2">
        <v>90</v>
      </c>
      <c r="K432" s="21" t="s">
        <v>97</v>
      </c>
      <c r="L432" s="21" t="s">
        <v>7</v>
      </c>
      <c r="M432" s="21" t="s">
        <v>30</v>
      </c>
      <c r="N432" s="3">
        <v>45665</v>
      </c>
      <c r="O432" s="21" t="s">
        <v>61</v>
      </c>
      <c r="P432" s="21" t="s">
        <v>48</v>
      </c>
      <c r="Q432" s="21" t="s">
        <v>62</v>
      </c>
      <c r="R432" s="2">
        <v>520</v>
      </c>
      <c r="S432" s="2">
        <v>809</v>
      </c>
      <c r="T432" s="2">
        <v>289</v>
      </c>
      <c r="U432" s="4">
        <v>35.723114956736715</v>
      </c>
      <c r="V432" s="21" t="s">
        <v>471</v>
      </c>
      <c r="W432">
        <v>1</v>
      </c>
      <c r="X432">
        <v>20</v>
      </c>
      <c r="Y432" s="20">
        <v>1</v>
      </c>
    </row>
    <row r="433" spans="1:25" x14ac:dyDescent="0.3">
      <c r="A433" s="20" t="s">
        <v>611</v>
      </c>
      <c r="B433" s="21" t="s">
        <v>17</v>
      </c>
      <c r="C433" s="21" t="s">
        <v>614</v>
      </c>
      <c r="D433" s="3">
        <v>45718</v>
      </c>
      <c r="E433" s="21" t="s">
        <v>101</v>
      </c>
      <c r="F433" s="21" t="s">
        <v>220</v>
      </c>
      <c r="G433" s="21" t="s">
        <v>50</v>
      </c>
      <c r="H433" s="2">
        <v>3</v>
      </c>
      <c r="I433" s="2">
        <v>45</v>
      </c>
      <c r="J433" s="2">
        <v>0</v>
      </c>
      <c r="K433" s="21" t="s">
        <v>97</v>
      </c>
      <c r="L433" s="21" t="s">
        <v>265</v>
      </c>
      <c r="M433" s="21" t="s">
        <v>101</v>
      </c>
      <c r="N433" s="3"/>
      <c r="O433" s="21" t="s">
        <v>51</v>
      </c>
      <c r="P433" s="21" t="s">
        <v>52</v>
      </c>
      <c r="Q433" s="21" t="s">
        <v>53</v>
      </c>
      <c r="R433" s="2">
        <v>18</v>
      </c>
      <c r="S433" s="2">
        <v>135</v>
      </c>
      <c r="T433" s="2">
        <v>81</v>
      </c>
      <c r="U433" s="4">
        <v>60</v>
      </c>
      <c r="V433" s="21" t="s">
        <v>471</v>
      </c>
      <c r="W433">
        <v>1</v>
      </c>
      <c r="X433"/>
      <c r="Y433" s="20"/>
    </row>
    <row r="434" spans="1:25" x14ac:dyDescent="0.3">
      <c r="A434" s="20" t="s">
        <v>611</v>
      </c>
      <c r="B434" s="21" t="s">
        <v>17</v>
      </c>
      <c r="C434" s="21" t="s">
        <v>615</v>
      </c>
      <c r="D434" s="3">
        <v>45718</v>
      </c>
      <c r="E434" s="21" t="s">
        <v>616</v>
      </c>
      <c r="F434" s="21" t="s">
        <v>617</v>
      </c>
      <c r="G434" s="21" t="s">
        <v>54</v>
      </c>
      <c r="H434" s="2">
        <v>1</v>
      </c>
      <c r="I434" s="2">
        <v>1299</v>
      </c>
      <c r="J434" s="2">
        <v>130</v>
      </c>
      <c r="K434" s="21" t="s">
        <v>97</v>
      </c>
      <c r="L434" s="21" t="s">
        <v>7</v>
      </c>
      <c r="M434" s="21" t="s">
        <v>30</v>
      </c>
      <c r="N434" s="3">
        <v>45716</v>
      </c>
      <c r="O434" s="21" t="s">
        <v>55</v>
      </c>
      <c r="P434" s="21" t="s">
        <v>44</v>
      </c>
      <c r="Q434" s="21" t="s">
        <v>56</v>
      </c>
      <c r="R434" s="2">
        <v>820</v>
      </c>
      <c r="S434" s="2">
        <v>1169</v>
      </c>
      <c r="T434" s="2">
        <v>349</v>
      </c>
      <c r="U434" s="4">
        <v>29.854576561163388</v>
      </c>
      <c r="V434" s="21" t="s">
        <v>471</v>
      </c>
      <c r="W434">
        <v>1</v>
      </c>
      <c r="X434">
        <v>9</v>
      </c>
      <c r="Y434" s="20">
        <v>1</v>
      </c>
    </row>
    <row r="435" spans="1:25" x14ac:dyDescent="0.3">
      <c r="A435" s="20" t="s">
        <v>611</v>
      </c>
      <c r="B435" s="21" t="s">
        <v>17</v>
      </c>
      <c r="C435" s="21" t="s">
        <v>618</v>
      </c>
      <c r="D435" s="3">
        <v>45719</v>
      </c>
      <c r="E435" s="21" t="s">
        <v>15</v>
      </c>
      <c r="F435" s="21" t="s">
        <v>16</v>
      </c>
      <c r="G435" s="21" t="s">
        <v>57</v>
      </c>
      <c r="H435" s="2">
        <v>2</v>
      </c>
      <c r="I435" s="2">
        <v>529</v>
      </c>
      <c r="J435" s="2">
        <v>53</v>
      </c>
      <c r="K435" s="21" t="s">
        <v>97</v>
      </c>
      <c r="L435" s="21" t="s">
        <v>7</v>
      </c>
      <c r="M435" s="21" t="s">
        <v>13</v>
      </c>
      <c r="N435" s="3">
        <v>44883</v>
      </c>
      <c r="O435" s="21" t="s">
        <v>58</v>
      </c>
      <c r="P435" s="21" t="s">
        <v>44</v>
      </c>
      <c r="Q435" s="21" t="s">
        <v>59</v>
      </c>
      <c r="R435" s="2">
        <v>260</v>
      </c>
      <c r="S435" s="2">
        <v>1005</v>
      </c>
      <c r="T435" s="2">
        <v>485</v>
      </c>
      <c r="U435" s="4">
        <v>48.258706467661696</v>
      </c>
      <c r="V435" s="21" t="s">
        <v>471</v>
      </c>
      <c r="W435">
        <v>1</v>
      </c>
      <c r="X435">
        <v>32</v>
      </c>
      <c r="Y435" s="20">
        <v>1</v>
      </c>
    </row>
    <row r="436" spans="1:25" x14ac:dyDescent="0.3">
      <c r="A436" s="20" t="s">
        <v>611</v>
      </c>
      <c r="B436" s="21" t="s">
        <v>17</v>
      </c>
      <c r="C436" s="21" t="s">
        <v>619</v>
      </c>
      <c r="D436" s="3">
        <v>45719</v>
      </c>
      <c r="E436" s="21" t="s">
        <v>18</v>
      </c>
      <c r="F436" s="21" t="s">
        <v>19</v>
      </c>
      <c r="G436" s="21" t="s">
        <v>46</v>
      </c>
      <c r="H436" s="2">
        <v>2</v>
      </c>
      <c r="I436" s="2">
        <v>199</v>
      </c>
      <c r="J436" s="2">
        <v>20</v>
      </c>
      <c r="K436" s="21" t="s">
        <v>97</v>
      </c>
      <c r="L436" s="21" t="s">
        <v>20</v>
      </c>
      <c r="M436" s="21" t="s">
        <v>13</v>
      </c>
      <c r="N436" s="3">
        <v>44931</v>
      </c>
      <c r="O436" s="21" t="s">
        <v>47</v>
      </c>
      <c r="P436" s="21" t="s">
        <v>48</v>
      </c>
      <c r="Q436" s="21" t="s">
        <v>49</v>
      </c>
      <c r="R436" s="2">
        <v>95</v>
      </c>
      <c r="S436" s="2">
        <v>378</v>
      </c>
      <c r="T436" s="2">
        <v>188</v>
      </c>
      <c r="U436" s="4">
        <v>49.735449735449734</v>
      </c>
      <c r="V436" s="21" t="s">
        <v>471</v>
      </c>
      <c r="W436">
        <v>1</v>
      </c>
      <c r="X436">
        <v>35</v>
      </c>
      <c r="Y436" s="20">
        <v>1</v>
      </c>
    </row>
    <row r="437" spans="1:25" x14ac:dyDescent="0.3">
      <c r="A437" s="20" t="s">
        <v>611</v>
      </c>
      <c r="B437" s="21" t="s">
        <v>17</v>
      </c>
      <c r="C437" s="21" t="s">
        <v>620</v>
      </c>
      <c r="D437" s="3">
        <v>45720</v>
      </c>
      <c r="E437" s="21" t="s">
        <v>101</v>
      </c>
      <c r="F437" s="21" t="s">
        <v>220</v>
      </c>
      <c r="G437" s="21" t="s">
        <v>63</v>
      </c>
      <c r="H437" s="2">
        <v>3</v>
      </c>
      <c r="I437" s="2">
        <v>29</v>
      </c>
      <c r="J437" s="2">
        <v>0</v>
      </c>
      <c r="K437" s="21" t="s">
        <v>97</v>
      </c>
      <c r="L437" s="21" t="s">
        <v>265</v>
      </c>
      <c r="M437" s="21" t="s">
        <v>101</v>
      </c>
      <c r="N437" s="3"/>
      <c r="O437" s="21" t="s">
        <v>64</v>
      </c>
      <c r="P437" s="21" t="s">
        <v>52</v>
      </c>
      <c r="Q437" s="21" t="s">
        <v>62</v>
      </c>
      <c r="R437" s="2">
        <v>11</v>
      </c>
      <c r="S437" s="2">
        <v>87</v>
      </c>
      <c r="T437" s="2">
        <v>54</v>
      </c>
      <c r="U437" s="4">
        <v>62.068965517241381</v>
      </c>
      <c r="V437" s="21" t="s">
        <v>471</v>
      </c>
      <c r="W437">
        <v>1</v>
      </c>
      <c r="X437"/>
      <c r="Y437" s="20"/>
    </row>
    <row r="438" spans="1:25" x14ac:dyDescent="0.3">
      <c r="A438" s="20" t="s">
        <v>611</v>
      </c>
      <c r="B438" s="21" t="s">
        <v>17</v>
      </c>
      <c r="C438" s="21" t="s">
        <v>621</v>
      </c>
      <c r="D438" s="3">
        <v>45720</v>
      </c>
      <c r="E438" s="21" t="s">
        <v>616</v>
      </c>
      <c r="F438" s="21" t="s">
        <v>617</v>
      </c>
      <c r="G438" s="21" t="s">
        <v>65</v>
      </c>
      <c r="H438" s="2">
        <v>1</v>
      </c>
      <c r="I438" s="2">
        <v>749</v>
      </c>
      <c r="J438" s="2">
        <v>75</v>
      </c>
      <c r="K438" s="21" t="s">
        <v>97</v>
      </c>
      <c r="L438" s="21" t="s">
        <v>7</v>
      </c>
      <c r="M438" s="21" t="s">
        <v>30</v>
      </c>
      <c r="N438" s="3">
        <v>45716</v>
      </c>
      <c r="O438" s="21" t="s">
        <v>66</v>
      </c>
      <c r="P438" s="21" t="s">
        <v>44</v>
      </c>
      <c r="Q438" s="21" t="s">
        <v>67</v>
      </c>
      <c r="R438" s="2">
        <v>490</v>
      </c>
      <c r="S438" s="2">
        <v>674</v>
      </c>
      <c r="T438" s="2">
        <v>184</v>
      </c>
      <c r="U438" s="4">
        <v>27.299703264094955</v>
      </c>
      <c r="V438" s="21" t="s">
        <v>471</v>
      </c>
      <c r="W438">
        <v>1</v>
      </c>
      <c r="X438">
        <v>9</v>
      </c>
      <c r="Y438" s="20">
        <v>1</v>
      </c>
    </row>
    <row r="439" spans="1:25" x14ac:dyDescent="0.3">
      <c r="A439" s="20" t="s">
        <v>611</v>
      </c>
      <c r="B439" s="21" t="s">
        <v>17</v>
      </c>
      <c r="C439" s="21" t="s">
        <v>622</v>
      </c>
      <c r="D439" s="3">
        <v>45721</v>
      </c>
      <c r="E439" s="21" t="s">
        <v>35</v>
      </c>
      <c r="F439" s="21" t="s">
        <v>36</v>
      </c>
      <c r="G439" s="21" t="s">
        <v>68</v>
      </c>
      <c r="H439" s="2">
        <v>2</v>
      </c>
      <c r="I439" s="2">
        <v>229</v>
      </c>
      <c r="J439" s="2">
        <v>22.9</v>
      </c>
      <c r="K439" s="21" t="s">
        <v>97</v>
      </c>
      <c r="L439" s="21" t="s">
        <v>7</v>
      </c>
      <c r="M439" s="21" t="s">
        <v>30</v>
      </c>
      <c r="N439" s="3">
        <v>45665</v>
      </c>
      <c r="O439" s="21" t="s">
        <v>69</v>
      </c>
      <c r="P439" s="21" t="s">
        <v>44</v>
      </c>
      <c r="Q439" s="21" t="s">
        <v>70</v>
      </c>
      <c r="R439" s="2">
        <v>110</v>
      </c>
      <c r="S439" s="2">
        <v>435.1</v>
      </c>
      <c r="T439" s="2">
        <v>215.10000000000002</v>
      </c>
      <c r="U439" s="4">
        <v>49.436911054929908</v>
      </c>
      <c r="V439" s="21" t="s">
        <v>471</v>
      </c>
      <c r="W439">
        <v>1</v>
      </c>
      <c r="X439">
        <v>20</v>
      </c>
      <c r="Y439" s="20">
        <v>1</v>
      </c>
    </row>
    <row r="440" spans="1:25" x14ac:dyDescent="0.3">
      <c r="A440" s="20" t="s">
        <v>611</v>
      </c>
      <c r="B440" s="21" t="s">
        <v>17</v>
      </c>
      <c r="C440" s="21" t="s">
        <v>623</v>
      </c>
      <c r="D440" s="3">
        <v>45721</v>
      </c>
      <c r="E440" s="21" t="s">
        <v>25</v>
      </c>
      <c r="F440" s="21" t="s">
        <v>26</v>
      </c>
      <c r="G440" s="21" t="s">
        <v>71</v>
      </c>
      <c r="H440" s="2">
        <v>1</v>
      </c>
      <c r="I440" s="2">
        <v>459</v>
      </c>
      <c r="J440" s="2">
        <v>46</v>
      </c>
      <c r="K440" s="21" t="s">
        <v>97</v>
      </c>
      <c r="L440" s="21" t="s">
        <v>27</v>
      </c>
      <c r="M440" s="21" t="s">
        <v>13</v>
      </c>
      <c r="N440" s="3">
        <v>45168</v>
      </c>
      <c r="O440" s="21" t="s">
        <v>72</v>
      </c>
      <c r="P440" s="21" t="s">
        <v>48</v>
      </c>
      <c r="Q440" s="21" t="s">
        <v>49</v>
      </c>
      <c r="R440" s="2">
        <v>210</v>
      </c>
      <c r="S440" s="2">
        <v>413</v>
      </c>
      <c r="T440" s="2">
        <v>203</v>
      </c>
      <c r="U440" s="4">
        <v>49.152542372881356</v>
      </c>
      <c r="V440" s="21" t="s">
        <v>471</v>
      </c>
      <c r="W440">
        <v>1</v>
      </c>
      <c r="X440">
        <v>46</v>
      </c>
      <c r="Y440" s="20">
        <v>1</v>
      </c>
    </row>
    <row r="441" spans="1:25" x14ac:dyDescent="0.3">
      <c r="A441" s="20" t="s">
        <v>611</v>
      </c>
      <c r="B441" s="21" t="s">
        <v>17</v>
      </c>
      <c r="C441" s="21" t="s">
        <v>624</v>
      </c>
      <c r="D441" s="3">
        <v>45722</v>
      </c>
      <c r="E441" s="21" t="s">
        <v>101</v>
      </c>
      <c r="F441" s="21" t="s">
        <v>220</v>
      </c>
      <c r="G441" s="21" t="s">
        <v>73</v>
      </c>
      <c r="H441" s="2">
        <v>4</v>
      </c>
      <c r="I441" s="2">
        <v>19</v>
      </c>
      <c r="J441" s="2">
        <v>0</v>
      </c>
      <c r="K441" s="21" t="s">
        <v>97</v>
      </c>
      <c r="L441" s="21" t="s">
        <v>265</v>
      </c>
      <c r="M441" s="21" t="s">
        <v>101</v>
      </c>
      <c r="N441" s="3"/>
      <c r="O441" s="21" t="s">
        <v>74</v>
      </c>
      <c r="P441" s="21" t="s">
        <v>52</v>
      </c>
      <c r="Q441" s="21" t="s">
        <v>62</v>
      </c>
      <c r="R441" s="2">
        <v>8</v>
      </c>
      <c r="S441" s="2">
        <v>76</v>
      </c>
      <c r="T441" s="2">
        <v>44</v>
      </c>
      <c r="U441" s="4">
        <v>57.894736842105267</v>
      </c>
      <c r="V441" s="21" t="s">
        <v>471</v>
      </c>
      <c r="W441">
        <v>1</v>
      </c>
      <c r="X441"/>
      <c r="Y441" s="20"/>
    </row>
    <row r="442" spans="1:25" x14ac:dyDescent="0.3">
      <c r="A442" s="20" t="s">
        <v>611</v>
      </c>
      <c r="B442" s="21" t="s">
        <v>17</v>
      </c>
      <c r="C442" s="21" t="s">
        <v>625</v>
      </c>
      <c r="D442" s="3">
        <v>45722</v>
      </c>
      <c r="E442" s="21" t="s">
        <v>5</v>
      </c>
      <c r="F442" s="21" t="s">
        <v>6</v>
      </c>
      <c r="G442" s="21" t="s">
        <v>75</v>
      </c>
      <c r="H442" s="2">
        <v>1</v>
      </c>
      <c r="I442" s="2">
        <v>599</v>
      </c>
      <c r="J442" s="2">
        <v>60</v>
      </c>
      <c r="K442" s="21" t="s">
        <v>97</v>
      </c>
      <c r="L442" s="21" t="s">
        <v>7</v>
      </c>
      <c r="M442" s="21" t="s">
        <v>8</v>
      </c>
      <c r="N442" s="3">
        <v>44635</v>
      </c>
      <c r="O442" s="21" t="s">
        <v>76</v>
      </c>
      <c r="P442" s="21" t="s">
        <v>44</v>
      </c>
      <c r="Q442" s="21" t="s">
        <v>59</v>
      </c>
      <c r="R442" s="2">
        <v>350</v>
      </c>
      <c r="S442" s="2">
        <v>539</v>
      </c>
      <c r="T442" s="2">
        <v>189</v>
      </c>
      <c r="U442" s="4">
        <v>35.064935064935064</v>
      </c>
      <c r="V442" s="21" t="s">
        <v>471</v>
      </c>
      <c r="W442">
        <v>1</v>
      </c>
      <c r="X442">
        <v>52</v>
      </c>
      <c r="Y442" s="20">
        <v>1</v>
      </c>
    </row>
    <row r="443" spans="1:25" x14ac:dyDescent="0.3">
      <c r="A443" s="20" t="s">
        <v>611</v>
      </c>
      <c r="B443" s="21" t="s">
        <v>17</v>
      </c>
      <c r="C443" s="21" t="s">
        <v>626</v>
      </c>
      <c r="D443" s="3">
        <v>45723</v>
      </c>
      <c r="E443" s="21" t="s">
        <v>15</v>
      </c>
      <c r="F443" s="21" t="s">
        <v>16</v>
      </c>
      <c r="G443" s="21" t="s">
        <v>77</v>
      </c>
      <c r="H443" s="2">
        <v>1</v>
      </c>
      <c r="I443" s="2">
        <v>1099</v>
      </c>
      <c r="J443" s="2">
        <v>110</v>
      </c>
      <c r="K443" s="21" t="s">
        <v>97</v>
      </c>
      <c r="L443" s="21" t="s">
        <v>7</v>
      </c>
      <c r="M443" s="21" t="s">
        <v>13</v>
      </c>
      <c r="N443" s="3">
        <v>44883</v>
      </c>
      <c r="O443" s="21" t="s">
        <v>78</v>
      </c>
      <c r="P443" s="21" t="s">
        <v>48</v>
      </c>
      <c r="Q443" s="21" t="s">
        <v>62</v>
      </c>
      <c r="R443" s="2">
        <v>650</v>
      </c>
      <c r="S443" s="2">
        <v>989</v>
      </c>
      <c r="T443" s="2">
        <v>339</v>
      </c>
      <c r="U443" s="4">
        <v>34.277047522750252</v>
      </c>
      <c r="V443" s="21" t="s">
        <v>471</v>
      </c>
      <c r="W443">
        <v>1</v>
      </c>
      <c r="X443">
        <v>32</v>
      </c>
      <c r="Y443" s="20">
        <v>1</v>
      </c>
    </row>
    <row r="444" spans="1:25" x14ac:dyDescent="0.3">
      <c r="A444" s="20" t="s">
        <v>611</v>
      </c>
      <c r="B444" s="21" t="s">
        <v>17</v>
      </c>
      <c r="C444" s="21" t="s">
        <v>627</v>
      </c>
      <c r="D444" s="3">
        <v>45723</v>
      </c>
      <c r="E444" s="21" t="s">
        <v>616</v>
      </c>
      <c r="F444" s="21" t="s">
        <v>617</v>
      </c>
      <c r="G444" s="21" t="s">
        <v>42</v>
      </c>
      <c r="H444" s="2">
        <v>2</v>
      </c>
      <c r="I444" s="2">
        <v>349</v>
      </c>
      <c r="J444" s="2">
        <v>34.9</v>
      </c>
      <c r="K444" s="21" t="s">
        <v>97</v>
      </c>
      <c r="L444" s="21" t="s">
        <v>7</v>
      </c>
      <c r="M444" s="21" t="s">
        <v>30</v>
      </c>
      <c r="N444" s="3">
        <v>45716</v>
      </c>
      <c r="O444" s="21" t="s">
        <v>43</v>
      </c>
      <c r="P444" s="21" t="s">
        <v>44</v>
      </c>
      <c r="Q444" s="21" t="s">
        <v>45</v>
      </c>
      <c r="R444" s="2">
        <v>165</v>
      </c>
      <c r="S444" s="2">
        <v>663.1</v>
      </c>
      <c r="T444" s="2">
        <v>333.1</v>
      </c>
      <c r="U444" s="4">
        <v>50.233750565525561</v>
      </c>
      <c r="V444" s="21" t="s">
        <v>471</v>
      </c>
      <c r="W444">
        <v>1</v>
      </c>
      <c r="X444">
        <v>9</v>
      </c>
      <c r="Y444" s="20">
        <v>1</v>
      </c>
    </row>
    <row r="445" spans="1:25" x14ac:dyDescent="0.3">
      <c r="A445" s="20" t="s">
        <v>611</v>
      </c>
      <c r="B445" s="21" t="s">
        <v>17</v>
      </c>
      <c r="C445" s="21" t="s">
        <v>628</v>
      </c>
      <c r="D445" s="3">
        <v>45724</v>
      </c>
      <c r="E445" s="21" t="s">
        <v>101</v>
      </c>
      <c r="F445" s="21" t="s">
        <v>220</v>
      </c>
      <c r="G445" s="21" t="s">
        <v>81</v>
      </c>
      <c r="H445" s="2">
        <v>2</v>
      </c>
      <c r="I445" s="2">
        <v>89</v>
      </c>
      <c r="J445" s="2">
        <v>8.9</v>
      </c>
      <c r="K445" s="21" t="s">
        <v>97</v>
      </c>
      <c r="L445" s="21" t="s">
        <v>265</v>
      </c>
      <c r="M445" s="21" t="s">
        <v>101</v>
      </c>
      <c r="N445" s="3"/>
      <c r="O445" s="21" t="s">
        <v>82</v>
      </c>
      <c r="P445" s="21" t="s">
        <v>52</v>
      </c>
      <c r="Q445" s="21" t="s">
        <v>83</v>
      </c>
      <c r="R445" s="2">
        <v>42</v>
      </c>
      <c r="S445" s="2">
        <v>169.1</v>
      </c>
      <c r="T445" s="2">
        <v>85.1</v>
      </c>
      <c r="U445" s="4">
        <v>50.325251330573629</v>
      </c>
      <c r="V445" s="21" t="s">
        <v>471</v>
      </c>
      <c r="W445">
        <v>1</v>
      </c>
      <c r="X445"/>
      <c r="Y445" s="20"/>
    </row>
    <row r="446" spans="1:25" x14ac:dyDescent="0.3">
      <c r="A446" s="20" t="s">
        <v>611</v>
      </c>
      <c r="B446" s="21" t="s">
        <v>17</v>
      </c>
      <c r="C446" s="21" t="s">
        <v>629</v>
      </c>
      <c r="D446" s="3">
        <v>45724</v>
      </c>
      <c r="E446" s="21" t="s">
        <v>18</v>
      </c>
      <c r="F446" s="21" t="s">
        <v>19</v>
      </c>
      <c r="G446" s="21" t="s">
        <v>84</v>
      </c>
      <c r="H446" s="2">
        <v>1</v>
      </c>
      <c r="I446" s="2">
        <v>2199</v>
      </c>
      <c r="J446" s="2">
        <v>220</v>
      </c>
      <c r="K446" s="21" t="s">
        <v>97</v>
      </c>
      <c r="L446" s="21" t="s">
        <v>20</v>
      </c>
      <c r="M446" s="21" t="s">
        <v>13</v>
      </c>
      <c r="N446" s="3">
        <v>44931</v>
      </c>
      <c r="O446" s="21" t="s">
        <v>85</v>
      </c>
      <c r="P446" s="21" t="s">
        <v>44</v>
      </c>
      <c r="Q446" s="21" t="s">
        <v>56</v>
      </c>
      <c r="R446" s="2">
        <v>1380</v>
      </c>
      <c r="S446" s="2">
        <v>1979</v>
      </c>
      <c r="T446" s="2">
        <v>599</v>
      </c>
      <c r="U446" s="4">
        <v>30.267812026275898</v>
      </c>
      <c r="V446" s="21" t="s">
        <v>471</v>
      </c>
      <c r="W446">
        <v>1</v>
      </c>
      <c r="X446">
        <v>35</v>
      </c>
      <c r="Y446" s="20">
        <v>1</v>
      </c>
    </row>
    <row r="447" spans="1:25" x14ac:dyDescent="0.3">
      <c r="A447" s="20" t="s">
        <v>611</v>
      </c>
      <c r="B447" s="21" t="s">
        <v>17</v>
      </c>
      <c r="C447" s="21" t="s">
        <v>630</v>
      </c>
      <c r="D447" s="3">
        <v>45725</v>
      </c>
      <c r="E447" s="21" t="s">
        <v>35</v>
      </c>
      <c r="F447" s="21" t="s">
        <v>36</v>
      </c>
      <c r="G447" s="21" t="s">
        <v>46</v>
      </c>
      <c r="H447" s="2">
        <v>3</v>
      </c>
      <c r="I447" s="2">
        <v>199</v>
      </c>
      <c r="J447" s="2">
        <v>30</v>
      </c>
      <c r="K447" s="21" t="s">
        <v>97</v>
      </c>
      <c r="L447" s="21" t="s">
        <v>7</v>
      </c>
      <c r="M447" s="21" t="s">
        <v>30</v>
      </c>
      <c r="N447" s="3">
        <v>45665</v>
      </c>
      <c r="O447" s="21" t="s">
        <v>47</v>
      </c>
      <c r="P447" s="21" t="s">
        <v>48</v>
      </c>
      <c r="Q447" s="21" t="s">
        <v>49</v>
      </c>
      <c r="R447" s="2">
        <v>95</v>
      </c>
      <c r="S447" s="2">
        <v>567</v>
      </c>
      <c r="T447" s="2">
        <v>282</v>
      </c>
      <c r="U447" s="4">
        <v>49.735449735449734</v>
      </c>
      <c r="V447" s="21" t="s">
        <v>471</v>
      </c>
      <c r="W447">
        <v>1</v>
      </c>
      <c r="X447">
        <v>20</v>
      </c>
      <c r="Y447" s="20">
        <v>1</v>
      </c>
    </row>
    <row r="448" spans="1:25" x14ac:dyDescent="0.3">
      <c r="A448" s="20" t="s">
        <v>611</v>
      </c>
      <c r="B448" s="21" t="s">
        <v>17</v>
      </c>
      <c r="C448" s="21" t="s">
        <v>631</v>
      </c>
      <c r="D448" s="3">
        <v>45725</v>
      </c>
      <c r="E448" s="21" t="s">
        <v>101</v>
      </c>
      <c r="F448" s="21" t="s">
        <v>220</v>
      </c>
      <c r="G448" s="21" t="s">
        <v>50</v>
      </c>
      <c r="H448" s="2">
        <v>2</v>
      </c>
      <c r="I448" s="2">
        <v>45</v>
      </c>
      <c r="J448" s="2">
        <v>0</v>
      </c>
      <c r="K448" s="21" t="s">
        <v>97</v>
      </c>
      <c r="L448" s="21" t="s">
        <v>265</v>
      </c>
      <c r="M448" s="21" t="s">
        <v>101</v>
      </c>
      <c r="N448" s="3"/>
      <c r="O448" s="21" t="s">
        <v>51</v>
      </c>
      <c r="P448" s="21" t="s">
        <v>52</v>
      </c>
      <c r="Q448" s="21" t="s">
        <v>53</v>
      </c>
      <c r="R448" s="2">
        <v>18</v>
      </c>
      <c r="S448" s="2">
        <v>90</v>
      </c>
      <c r="T448" s="2">
        <v>54</v>
      </c>
      <c r="U448" s="4">
        <v>60</v>
      </c>
      <c r="V448" s="21" t="s">
        <v>471</v>
      </c>
      <c r="W448">
        <v>1</v>
      </c>
      <c r="X448"/>
      <c r="Y448" s="20"/>
    </row>
    <row r="449" spans="1:25" x14ac:dyDescent="0.3">
      <c r="A449" s="20" t="s">
        <v>611</v>
      </c>
      <c r="B449" s="21" t="s">
        <v>17</v>
      </c>
      <c r="C449" s="21" t="s">
        <v>632</v>
      </c>
      <c r="D449" s="3">
        <v>45726</v>
      </c>
      <c r="E449" s="21" t="s">
        <v>25</v>
      </c>
      <c r="F449" s="21" t="s">
        <v>26</v>
      </c>
      <c r="G449" s="21" t="s">
        <v>54</v>
      </c>
      <c r="H449" s="2">
        <v>1</v>
      </c>
      <c r="I449" s="2">
        <v>1299</v>
      </c>
      <c r="J449" s="2">
        <v>130</v>
      </c>
      <c r="K449" s="21" t="s">
        <v>97</v>
      </c>
      <c r="L449" s="21" t="s">
        <v>27</v>
      </c>
      <c r="M449" s="21" t="s">
        <v>13</v>
      </c>
      <c r="N449" s="3">
        <v>45168</v>
      </c>
      <c r="O449" s="21" t="s">
        <v>55</v>
      </c>
      <c r="P449" s="21" t="s">
        <v>44</v>
      </c>
      <c r="Q449" s="21" t="s">
        <v>56</v>
      </c>
      <c r="R449" s="2">
        <v>820</v>
      </c>
      <c r="S449" s="2">
        <v>1169</v>
      </c>
      <c r="T449" s="2">
        <v>349</v>
      </c>
      <c r="U449" s="4">
        <v>29.854576561163388</v>
      </c>
      <c r="V449" s="21" t="s">
        <v>471</v>
      </c>
      <c r="W449">
        <v>1</v>
      </c>
      <c r="X449">
        <v>46</v>
      </c>
      <c r="Y449" s="20">
        <v>1</v>
      </c>
    </row>
    <row r="450" spans="1:25" x14ac:dyDescent="0.3">
      <c r="A450" s="20" t="s">
        <v>611</v>
      </c>
      <c r="B450" s="21" t="s">
        <v>17</v>
      </c>
      <c r="C450" s="21" t="s">
        <v>633</v>
      </c>
      <c r="D450" s="3">
        <v>45726</v>
      </c>
      <c r="E450" s="21" t="s">
        <v>5</v>
      </c>
      <c r="F450" s="21" t="s">
        <v>6</v>
      </c>
      <c r="G450" s="21" t="s">
        <v>57</v>
      </c>
      <c r="H450" s="2">
        <v>1</v>
      </c>
      <c r="I450" s="2">
        <v>529</v>
      </c>
      <c r="J450" s="2">
        <v>52.9</v>
      </c>
      <c r="K450" s="21" t="s">
        <v>97</v>
      </c>
      <c r="L450" s="21" t="s">
        <v>7</v>
      </c>
      <c r="M450" s="21" t="s">
        <v>8</v>
      </c>
      <c r="N450" s="3">
        <v>44635</v>
      </c>
      <c r="O450" s="21" t="s">
        <v>58</v>
      </c>
      <c r="P450" s="21" t="s">
        <v>44</v>
      </c>
      <c r="Q450" s="21" t="s">
        <v>59</v>
      </c>
      <c r="R450" s="2">
        <v>260</v>
      </c>
      <c r="S450" s="2">
        <v>476.1</v>
      </c>
      <c r="T450" s="2">
        <v>216.10000000000002</v>
      </c>
      <c r="U450" s="4">
        <v>45.389624028565429</v>
      </c>
      <c r="V450" s="21" t="s">
        <v>471</v>
      </c>
      <c r="W450">
        <v>1</v>
      </c>
      <c r="X450">
        <v>52</v>
      </c>
      <c r="Y450" s="20">
        <v>1</v>
      </c>
    </row>
    <row r="451" spans="1:25" x14ac:dyDescent="0.3">
      <c r="A451" s="20" t="s">
        <v>611</v>
      </c>
      <c r="B451" s="21" t="s">
        <v>17</v>
      </c>
      <c r="C451" s="21" t="s">
        <v>634</v>
      </c>
      <c r="D451" s="3">
        <v>45727</v>
      </c>
      <c r="E451" s="21" t="s">
        <v>616</v>
      </c>
      <c r="F451" s="21" t="s">
        <v>617</v>
      </c>
      <c r="G451" s="21" t="s">
        <v>60</v>
      </c>
      <c r="H451" s="2">
        <v>2</v>
      </c>
      <c r="I451" s="2">
        <v>899</v>
      </c>
      <c r="J451" s="2">
        <v>90</v>
      </c>
      <c r="K451" s="21" t="s">
        <v>97</v>
      </c>
      <c r="L451" s="21" t="s">
        <v>7</v>
      </c>
      <c r="M451" s="21" t="s">
        <v>30</v>
      </c>
      <c r="N451" s="3">
        <v>45716</v>
      </c>
      <c r="O451" s="21" t="s">
        <v>61</v>
      </c>
      <c r="P451" s="21" t="s">
        <v>48</v>
      </c>
      <c r="Q451" s="21" t="s">
        <v>62</v>
      </c>
      <c r="R451" s="2">
        <v>520</v>
      </c>
      <c r="S451" s="2">
        <v>1708</v>
      </c>
      <c r="T451" s="2">
        <v>668</v>
      </c>
      <c r="U451" s="4">
        <v>39.110070257611241</v>
      </c>
      <c r="V451" s="21" t="s">
        <v>471</v>
      </c>
      <c r="W451">
        <v>1</v>
      </c>
      <c r="X451">
        <v>9</v>
      </c>
      <c r="Y451" s="20">
        <v>1</v>
      </c>
    </row>
    <row r="452" spans="1:25" x14ac:dyDescent="0.3">
      <c r="A452" s="20" t="s">
        <v>611</v>
      </c>
      <c r="B452" s="21" t="s">
        <v>17</v>
      </c>
      <c r="C452" s="21" t="s">
        <v>635</v>
      </c>
      <c r="D452" s="3">
        <v>45727</v>
      </c>
      <c r="E452" s="21" t="s">
        <v>101</v>
      </c>
      <c r="F452" s="21" t="s">
        <v>220</v>
      </c>
      <c r="G452" s="21" t="s">
        <v>63</v>
      </c>
      <c r="H452" s="2">
        <v>4</v>
      </c>
      <c r="I452" s="2">
        <v>29</v>
      </c>
      <c r="J452" s="2">
        <v>0</v>
      </c>
      <c r="K452" s="21" t="s">
        <v>97</v>
      </c>
      <c r="L452" s="21" t="s">
        <v>265</v>
      </c>
      <c r="M452" s="21" t="s">
        <v>101</v>
      </c>
      <c r="N452" s="3"/>
      <c r="O452" s="21" t="s">
        <v>64</v>
      </c>
      <c r="P452" s="21" t="s">
        <v>52</v>
      </c>
      <c r="Q452" s="21" t="s">
        <v>62</v>
      </c>
      <c r="R452" s="2">
        <v>11</v>
      </c>
      <c r="S452" s="2">
        <v>116</v>
      </c>
      <c r="T452" s="2">
        <v>72</v>
      </c>
      <c r="U452" s="4">
        <v>62.068965517241381</v>
      </c>
      <c r="V452" s="21" t="s">
        <v>471</v>
      </c>
      <c r="W452">
        <v>1</v>
      </c>
      <c r="X452"/>
      <c r="Y452" s="20"/>
    </row>
    <row r="453" spans="1:25" x14ac:dyDescent="0.3">
      <c r="A453" s="20" t="s">
        <v>611</v>
      </c>
      <c r="B453" s="21" t="s">
        <v>17</v>
      </c>
      <c r="C453" s="21" t="s">
        <v>636</v>
      </c>
      <c r="D453" s="3">
        <v>45728</v>
      </c>
      <c r="E453" s="21" t="s">
        <v>15</v>
      </c>
      <c r="F453" s="21" t="s">
        <v>16</v>
      </c>
      <c r="G453" s="21" t="s">
        <v>65</v>
      </c>
      <c r="H453" s="2">
        <v>1</v>
      </c>
      <c r="I453" s="2">
        <v>749</v>
      </c>
      <c r="J453" s="2">
        <v>75</v>
      </c>
      <c r="K453" s="21" t="s">
        <v>97</v>
      </c>
      <c r="L453" s="21" t="s">
        <v>7</v>
      </c>
      <c r="M453" s="21" t="s">
        <v>13</v>
      </c>
      <c r="N453" s="3">
        <v>44883</v>
      </c>
      <c r="O453" s="21" t="s">
        <v>66</v>
      </c>
      <c r="P453" s="21" t="s">
        <v>44</v>
      </c>
      <c r="Q453" s="21" t="s">
        <v>67</v>
      </c>
      <c r="R453" s="2">
        <v>490</v>
      </c>
      <c r="S453" s="2">
        <v>674</v>
      </c>
      <c r="T453" s="2">
        <v>184</v>
      </c>
      <c r="U453" s="4">
        <v>27.299703264094955</v>
      </c>
      <c r="V453" s="21" t="s">
        <v>471</v>
      </c>
      <c r="W453">
        <v>1</v>
      </c>
      <c r="X453">
        <v>32</v>
      </c>
      <c r="Y453" s="20">
        <v>1</v>
      </c>
    </row>
    <row r="454" spans="1:25" x14ac:dyDescent="0.3">
      <c r="A454" s="20" t="s">
        <v>611</v>
      </c>
      <c r="B454" s="21" t="s">
        <v>17</v>
      </c>
      <c r="C454" s="21" t="s">
        <v>637</v>
      </c>
      <c r="D454" s="3">
        <v>45728</v>
      </c>
      <c r="E454" s="21" t="s">
        <v>18</v>
      </c>
      <c r="F454" s="21" t="s">
        <v>19</v>
      </c>
      <c r="G454" s="21" t="s">
        <v>68</v>
      </c>
      <c r="H454" s="2">
        <v>1</v>
      </c>
      <c r="I454" s="2">
        <v>229</v>
      </c>
      <c r="J454" s="2">
        <v>22.9</v>
      </c>
      <c r="K454" s="21" t="s">
        <v>97</v>
      </c>
      <c r="L454" s="21" t="s">
        <v>20</v>
      </c>
      <c r="M454" s="21" t="s">
        <v>13</v>
      </c>
      <c r="N454" s="3">
        <v>44931</v>
      </c>
      <c r="O454" s="21" t="s">
        <v>69</v>
      </c>
      <c r="P454" s="21" t="s">
        <v>44</v>
      </c>
      <c r="Q454" s="21" t="s">
        <v>70</v>
      </c>
      <c r="R454" s="2">
        <v>110</v>
      </c>
      <c r="S454" s="2">
        <v>206.1</v>
      </c>
      <c r="T454" s="2">
        <v>96.1</v>
      </c>
      <c r="U454" s="4">
        <v>46.62785055798156</v>
      </c>
      <c r="V454" s="21" t="s">
        <v>471</v>
      </c>
      <c r="W454">
        <v>1</v>
      </c>
      <c r="X454">
        <v>35</v>
      </c>
      <c r="Y454" s="20">
        <v>1</v>
      </c>
    </row>
    <row r="455" spans="1:25" x14ac:dyDescent="0.3">
      <c r="A455" s="20" t="s">
        <v>611</v>
      </c>
      <c r="B455" s="21" t="s">
        <v>17</v>
      </c>
      <c r="C455" s="21" t="s">
        <v>638</v>
      </c>
      <c r="D455" s="3">
        <v>45729</v>
      </c>
      <c r="E455" s="21" t="s">
        <v>101</v>
      </c>
      <c r="F455" s="21" t="s">
        <v>220</v>
      </c>
      <c r="G455" s="21" t="s">
        <v>73</v>
      </c>
      <c r="H455" s="2">
        <v>3</v>
      </c>
      <c r="I455" s="2">
        <v>19</v>
      </c>
      <c r="J455" s="2">
        <v>0</v>
      </c>
      <c r="K455" s="21" t="s">
        <v>97</v>
      </c>
      <c r="L455" s="21" t="s">
        <v>265</v>
      </c>
      <c r="M455" s="21" t="s">
        <v>101</v>
      </c>
      <c r="N455" s="3"/>
      <c r="O455" s="21" t="s">
        <v>74</v>
      </c>
      <c r="P455" s="21" t="s">
        <v>52</v>
      </c>
      <c r="Q455" s="21" t="s">
        <v>62</v>
      </c>
      <c r="R455" s="2">
        <v>8</v>
      </c>
      <c r="S455" s="2">
        <v>57</v>
      </c>
      <c r="T455" s="2">
        <v>33</v>
      </c>
      <c r="U455" s="4">
        <v>57.894736842105267</v>
      </c>
      <c r="V455" s="21" t="s">
        <v>471</v>
      </c>
      <c r="W455">
        <v>1</v>
      </c>
      <c r="X455"/>
      <c r="Y455" s="20"/>
    </row>
    <row r="456" spans="1:25" x14ac:dyDescent="0.3">
      <c r="A456" s="20" t="s">
        <v>611</v>
      </c>
      <c r="B456" s="21" t="s">
        <v>17</v>
      </c>
      <c r="C456" s="21" t="s">
        <v>639</v>
      </c>
      <c r="D456" s="3">
        <v>45729</v>
      </c>
      <c r="E456" s="21" t="s">
        <v>35</v>
      </c>
      <c r="F456" s="21" t="s">
        <v>36</v>
      </c>
      <c r="G456" s="21" t="s">
        <v>75</v>
      </c>
      <c r="H456" s="2">
        <v>1</v>
      </c>
      <c r="I456" s="2">
        <v>599</v>
      </c>
      <c r="J456" s="2">
        <v>59.9</v>
      </c>
      <c r="K456" s="21" t="s">
        <v>97</v>
      </c>
      <c r="L456" s="21" t="s">
        <v>7</v>
      </c>
      <c r="M456" s="21" t="s">
        <v>30</v>
      </c>
      <c r="N456" s="3">
        <v>45665</v>
      </c>
      <c r="O456" s="21" t="s">
        <v>76</v>
      </c>
      <c r="P456" s="21" t="s">
        <v>44</v>
      </c>
      <c r="Q456" s="21" t="s">
        <v>59</v>
      </c>
      <c r="R456" s="2">
        <v>350</v>
      </c>
      <c r="S456" s="2">
        <v>539.1</v>
      </c>
      <c r="T456" s="2">
        <v>189.10000000000002</v>
      </c>
      <c r="U456" s="4">
        <v>35.076980152105364</v>
      </c>
      <c r="V456" s="21" t="s">
        <v>471</v>
      </c>
      <c r="W456">
        <v>1</v>
      </c>
      <c r="X456">
        <v>20</v>
      </c>
      <c r="Y456" s="20">
        <v>1</v>
      </c>
    </row>
    <row r="457" spans="1:25" x14ac:dyDescent="0.3">
      <c r="A457" s="20" t="s">
        <v>611</v>
      </c>
      <c r="B457" s="21" t="s">
        <v>17</v>
      </c>
      <c r="C457" s="21" t="s">
        <v>640</v>
      </c>
      <c r="D457" s="3">
        <v>45730</v>
      </c>
      <c r="E457" s="21" t="s">
        <v>25</v>
      </c>
      <c r="F457" s="21" t="s">
        <v>26</v>
      </c>
      <c r="G457" s="21" t="s">
        <v>77</v>
      </c>
      <c r="H457" s="2">
        <v>1</v>
      </c>
      <c r="I457" s="2">
        <v>1099</v>
      </c>
      <c r="J457" s="2">
        <v>110</v>
      </c>
      <c r="K457" s="21" t="s">
        <v>97</v>
      </c>
      <c r="L457" s="21" t="s">
        <v>27</v>
      </c>
      <c r="M457" s="21" t="s">
        <v>13</v>
      </c>
      <c r="N457" s="3">
        <v>45168</v>
      </c>
      <c r="O457" s="21" t="s">
        <v>78</v>
      </c>
      <c r="P457" s="21" t="s">
        <v>48</v>
      </c>
      <c r="Q457" s="21" t="s">
        <v>62</v>
      </c>
      <c r="R457" s="2">
        <v>650</v>
      </c>
      <c r="S457" s="2">
        <v>989</v>
      </c>
      <c r="T457" s="2">
        <v>339</v>
      </c>
      <c r="U457" s="4">
        <v>34.277047522750252</v>
      </c>
      <c r="V457" s="21" t="s">
        <v>471</v>
      </c>
      <c r="W457">
        <v>1</v>
      </c>
      <c r="X457">
        <v>46</v>
      </c>
      <c r="Y457" s="20">
        <v>1</v>
      </c>
    </row>
    <row r="458" spans="1:25" x14ac:dyDescent="0.3">
      <c r="A458" s="20" t="s">
        <v>611</v>
      </c>
      <c r="B458" s="21" t="s">
        <v>17</v>
      </c>
      <c r="C458" s="21" t="s">
        <v>641</v>
      </c>
      <c r="D458" s="3">
        <v>45730</v>
      </c>
      <c r="E458" s="21" t="s">
        <v>101</v>
      </c>
      <c r="F458" s="21" t="s">
        <v>220</v>
      </c>
      <c r="G458" s="21" t="s">
        <v>42</v>
      </c>
      <c r="H458" s="2">
        <v>2</v>
      </c>
      <c r="I458" s="2">
        <v>349</v>
      </c>
      <c r="J458" s="2">
        <v>0</v>
      </c>
      <c r="K458" s="21" t="s">
        <v>97</v>
      </c>
      <c r="L458" s="21" t="s">
        <v>265</v>
      </c>
      <c r="M458" s="21" t="s">
        <v>101</v>
      </c>
      <c r="N458" s="3"/>
      <c r="O458" s="21" t="s">
        <v>43</v>
      </c>
      <c r="P458" s="21" t="s">
        <v>44</v>
      </c>
      <c r="Q458" s="21" t="s">
        <v>45</v>
      </c>
      <c r="R458" s="2">
        <v>165</v>
      </c>
      <c r="S458" s="2">
        <v>698</v>
      </c>
      <c r="T458" s="2">
        <v>368</v>
      </c>
      <c r="U458" s="4">
        <v>52.722063037249278</v>
      </c>
      <c r="V458" s="21" t="s">
        <v>471</v>
      </c>
      <c r="W458">
        <v>1</v>
      </c>
      <c r="X458"/>
      <c r="Y458" s="20"/>
    </row>
    <row r="459" spans="1:25" x14ac:dyDescent="0.3">
      <c r="A459" s="20" t="s">
        <v>611</v>
      </c>
      <c r="B459" s="21" t="s">
        <v>17</v>
      </c>
      <c r="C459" s="21" t="s">
        <v>642</v>
      </c>
      <c r="D459" s="3">
        <v>45731</v>
      </c>
      <c r="E459" s="21" t="s">
        <v>5</v>
      </c>
      <c r="F459" s="21" t="s">
        <v>6</v>
      </c>
      <c r="G459" s="21" t="s">
        <v>81</v>
      </c>
      <c r="H459" s="2">
        <v>1</v>
      </c>
      <c r="I459" s="2">
        <v>89</v>
      </c>
      <c r="J459" s="2">
        <v>8.9</v>
      </c>
      <c r="K459" s="21" t="s">
        <v>97</v>
      </c>
      <c r="L459" s="21" t="s">
        <v>7</v>
      </c>
      <c r="M459" s="21" t="s">
        <v>8</v>
      </c>
      <c r="N459" s="3">
        <v>44635</v>
      </c>
      <c r="O459" s="21" t="s">
        <v>82</v>
      </c>
      <c r="P459" s="21" t="s">
        <v>52</v>
      </c>
      <c r="Q459" s="21" t="s">
        <v>83</v>
      </c>
      <c r="R459" s="2">
        <v>42</v>
      </c>
      <c r="S459" s="2">
        <v>80.099999999999994</v>
      </c>
      <c r="T459" s="2">
        <v>38.099999999999994</v>
      </c>
      <c r="U459" s="4">
        <v>47.565543071161045</v>
      </c>
      <c r="V459" s="21" t="s">
        <v>471</v>
      </c>
      <c r="W459">
        <v>1</v>
      </c>
      <c r="X459">
        <v>52</v>
      </c>
      <c r="Y459" s="20">
        <v>1</v>
      </c>
    </row>
    <row r="460" spans="1:25" x14ac:dyDescent="0.3">
      <c r="A460" s="20" t="s">
        <v>611</v>
      </c>
      <c r="B460" s="21" t="s">
        <v>17</v>
      </c>
      <c r="C460" s="21" t="s">
        <v>643</v>
      </c>
      <c r="D460" s="3">
        <v>45731</v>
      </c>
      <c r="E460" s="21" t="s">
        <v>616</v>
      </c>
      <c r="F460" s="21" t="s">
        <v>617</v>
      </c>
      <c r="G460" s="21" t="s">
        <v>84</v>
      </c>
      <c r="H460" s="2">
        <v>1</v>
      </c>
      <c r="I460" s="2">
        <v>2199</v>
      </c>
      <c r="J460" s="2">
        <v>220</v>
      </c>
      <c r="K460" s="21" t="s">
        <v>97</v>
      </c>
      <c r="L460" s="21" t="s">
        <v>7</v>
      </c>
      <c r="M460" s="21" t="s">
        <v>30</v>
      </c>
      <c r="N460" s="3">
        <v>45716</v>
      </c>
      <c r="O460" s="21" t="s">
        <v>85</v>
      </c>
      <c r="P460" s="21" t="s">
        <v>44</v>
      </c>
      <c r="Q460" s="21" t="s">
        <v>56</v>
      </c>
      <c r="R460" s="2">
        <v>1380</v>
      </c>
      <c r="S460" s="2">
        <v>1979</v>
      </c>
      <c r="T460" s="2">
        <v>599</v>
      </c>
      <c r="U460" s="4">
        <v>30.267812026275898</v>
      </c>
      <c r="V460" s="21" t="s">
        <v>471</v>
      </c>
      <c r="W460">
        <v>1</v>
      </c>
      <c r="X460">
        <v>9</v>
      </c>
      <c r="Y460" s="20">
        <v>1</v>
      </c>
    </row>
    <row r="461" spans="1:25" x14ac:dyDescent="0.3">
      <c r="A461" s="20" t="s">
        <v>611</v>
      </c>
      <c r="B461" s="21" t="s">
        <v>17</v>
      </c>
      <c r="C461" s="21" t="s">
        <v>644</v>
      </c>
      <c r="D461" s="3">
        <v>45732</v>
      </c>
      <c r="E461" s="21" t="s">
        <v>15</v>
      </c>
      <c r="F461" s="21" t="s">
        <v>16</v>
      </c>
      <c r="G461" s="21" t="s">
        <v>46</v>
      </c>
      <c r="H461" s="2">
        <v>2</v>
      </c>
      <c r="I461" s="2">
        <v>199</v>
      </c>
      <c r="J461" s="2">
        <v>20</v>
      </c>
      <c r="K461" s="21" t="s">
        <v>97</v>
      </c>
      <c r="L461" s="21" t="s">
        <v>7</v>
      </c>
      <c r="M461" s="21" t="s">
        <v>13</v>
      </c>
      <c r="N461" s="3">
        <v>44883</v>
      </c>
      <c r="O461" s="21" t="s">
        <v>47</v>
      </c>
      <c r="P461" s="21" t="s">
        <v>48</v>
      </c>
      <c r="Q461" s="21" t="s">
        <v>49</v>
      </c>
      <c r="R461" s="2">
        <v>95</v>
      </c>
      <c r="S461" s="2">
        <v>378</v>
      </c>
      <c r="T461" s="2">
        <v>188</v>
      </c>
      <c r="U461" s="4">
        <v>49.735449735449734</v>
      </c>
      <c r="V461" s="21" t="s">
        <v>471</v>
      </c>
      <c r="W461">
        <v>1</v>
      </c>
      <c r="X461">
        <v>32</v>
      </c>
      <c r="Y461" s="20">
        <v>1</v>
      </c>
    </row>
    <row r="462" spans="1:25" x14ac:dyDescent="0.3">
      <c r="A462" s="20" t="s">
        <v>611</v>
      </c>
      <c r="B462" s="21" t="s">
        <v>17</v>
      </c>
      <c r="C462" s="21" t="s">
        <v>645</v>
      </c>
      <c r="D462" s="3">
        <v>45732</v>
      </c>
      <c r="E462" s="21" t="s">
        <v>101</v>
      </c>
      <c r="F462" s="21" t="s">
        <v>220</v>
      </c>
      <c r="G462" s="21" t="s">
        <v>50</v>
      </c>
      <c r="H462" s="2">
        <v>4</v>
      </c>
      <c r="I462" s="2">
        <v>45</v>
      </c>
      <c r="J462" s="2">
        <v>22.5</v>
      </c>
      <c r="K462" s="21" t="s">
        <v>97</v>
      </c>
      <c r="L462" s="21" t="s">
        <v>265</v>
      </c>
      <c r="M462" s="21" t="s">
        <v>101</v>
      </c>
      <c r="N462" s="3"/>
      <c r="O462" s="21" t="s">
        <v>51</v>
      </c>
      <c r="P462" s="21" t="s">
        <v>52</v>
      </c>
      <c r="Q462" s="21" t="s">
        <v>53</v>
      </c>
      <c r="R462" s="2">
        <v>18</v>
      </c>
      <c r="S462" s="2">
        <v>157.5</v>
      </c>
      <c r="T462" s="2">
        <v>85.5</v>
      </c>
      <c r="U462" s="4">
        <v>54.285714285714285</v>
      </c>
      <c r="V462" s="21" t="s">
        <v>471</v>
      </c>
      <c r="W462">
        <v>1</v>
      </c>
      <c r="X462"/>
      <c r="Y462" s="20"/>
    </row>
    <row r="463" spans="1:25" x14ac:dyDescent="0.3">
      <c r="A463" s="20" t="s">
        <v>611</v>
      </c>
      <c r="B463" s="21" t="s">
        <v>17</v>
      </c>
      <c r="C463" s="21" t="s">
        <v>646</v>
      </c>
      <c r="D463" s="3">
        <v>45733</v>
      </c>
      <c r="E463" s="21" t="s">
        <v>18</v>
      </c>
      <c r="F463" s="21" t="s">
        <v>19</v>
      </c>
      <c r="G463" s="21" t="s">
        <v>54</v>
      </c>
      <c r="H463" s="2">
        <v>1</v>
      </c>
      <c r="I463" s="2">
        <v>1299</v>
      </c>
      <c r="J463" s="2">
        <v>130</v>
      </c>
      <c r="K463" s="21" t="s">
        <v>97</v>
      </c>
      <c r="L463" s="21" t="s">
        <v>20</v>
      </c>
      <c r="M463" s="21" t="s">
        <v>13</v>
      </c>
      <c r="N463" s="3">
        <v>44931</v>
      </c>
      <c r="O463" s="21" t="s">
        <v>55</v>
      </c>
      <c r="P463" s="21" t="s">
        <v>44</v>
      </c>
      <c r="Q463" s="21" t="s">
        <v>56</v>
      </c>
      <c r="R463" s="2">
        <v>820</v>
      </c>
      <c r="S463" s="2">
        <v>1169</v>
      </c>
      <c r="T463" s="2">
        <v>349</v>
      </c>
      <c r="U463" s="4">
        <v>29.854576561163388</v>
      </c>
      <c r="V463" s="21" t="s">
        <v>471</v>
      </c>
      <c r="W463">
        <v>1</v>
      </c>
      <c r="X463">
        <v>35</v>
      </c>
      <c r="Y463" s="20">
        <v>1</v>
      </c>
    </row>
    <row r="464" spans="1:25" x14ac:dyDescent="0.3">
      <c r="A464" s="20" t="s">
        <v>611</v>
      </c>
      <c r="B464" s="21" t="s">
        <v>17</v>
      </c>
      <c r="C464" s="21" t="s">
        <v>647</v>
      </c>
      <c r="D464" s="3">
        <v>45733</v>
      </c>
      <c r="E464" s="21" t="s">
        <v>35</v>
      </c>
      <c r="F464" s="21" t="s">
        <v>36</v>
      </c>
      <c r="G464" s="21" t="s">
        <v>57</v>
      </c>
      <c r="H464" s="2">
        <v>1</v>
      </c>
      <c r="I464" s="2">
        <v>529</v>
      </c>
      <c r="J464" s="2">
        <v>0</v>
      </c>
      <c r="K464" s="21" t="s">
        <v>97</v>
      </c>
      <c r="L464" s="21" t="s">
        <v>7</v>
      </c>
      <c r="M464" s="21" t="s">
        <v>30</v>
      </c>
      <c r="N464" s="3">
        <v>45665</v>
      </c>
      <c r="O464" s="21" t="s">
        <v>58</v>
      </c>
      <c r="P464" s="21" t="s">
        <v>44</v>
      </c>
      <c r="Q464" s="21" t="s">
        <v>59</v>
      </c>
      <c r="R464" s="2">
        <v>260</v>
      </c>
      <c r="S464" s="2">
        <v>529</v>
      </c>
      <c r="T464" s="2">
        <v>269</v>
      </c>
      <c r="U464" s="4">
        <v>50.850661625708881</v>
      </c>
      <c r="V464" s="21" t="s">
        <v>471</v>
      </c>
      <c r="W464">
        <v>1</v>
      </c>
      <c r="X464">
        <v>20</v>
      </c>
      <c r="Y464" s="20">
        <v>1</v>
      </c>
    </row>
    <row r="465" spans="1:25" x14ac:dyDescent="0.3">
      <c r="A465" s="20" t="s">
        <v>611</v>
      </c>
      <c r="B465" s="21" t="s">
        <v>17</v>
      </c>
      <c r="C465" s="21" t="s">
        <v>648</v>
      </c>
      <c r="D465" s="3">
        <v>45734</v>
      </c>
      <c r="E465" s="21" t="s">
        <v>101</v>
      </c>
      <c r="F465" s="21" t="s">
        <v>220</v>
      </c>
      <c r="G465" s="21" t="s">
        <v>63</v>
      </c>
      <c r="H465" s="2">
        <v>2</v>
      </c>
      <c r="I465" s="2">
        <v>29</v>
      </c>
      <c r="J465" s="2">
        <v>0</v>
      </c>
      <c r="K465" s="21" t="s">
        <v>97</v>
      </c>
      <c r="L465" s="21" t="s">
        <v>265</v>
      </c>
      <c r="M465" s="21" t="s">
        <v>101</v>
      </c>
      <c r="N465" s="3"/>
      <c r="O465" s="21" t="s">
        <v>64</v>
      </c>
      <c r="P465" s="21" t="s">
        <v>52</v>
      </c>
      <c r="Q465" s="21" t="s">
        <v>62</v>
      </c>
      <c r="R465" s="2">
        <v>11</v>
      </c>
      <c r="S465" s="2">
        <v>58</v>
      </c>
      <c r="T465" s="2">
        <v>36</v>
      </c>
      <c r="U465" s="4">
        <v>62.068965517241381</v>
      </c>
      <c r="V465" s="21" t="s">
        <v>471</v>
      </c>
      <c r="W465">
        <v>1</v>
      </c>
      <c r="X465"/>
      <c r="Y465" s="20"/>
    </row>
    <row r="466" spans="1:25" x14ac:dyDescent="0.3">
      <c r="A466" s="20" t="s">
        <v>611</v>
      </c>
      <c r="B466" s="21" t="s">
        <v>17</v>
      </c>
      <c r="C466" s="21" t="s">
        <v>649</v>
      </c>
      <c r="D466" s="3">
        <v>45734</v>
      </c>
      <c r="E466" s="21" t="s">
        <v>25</v>
      </c>
      <c r="F466" s="21" t="s">
        <v>26</v>
      </c>
      <c r="G466" s="21" t="s">
        <v>60</v>
      </c>
      <c r="H466" s="2">
        <v>1</v>
      </c>
      <c r="I466" s="2">
        <v>899</v>
      </c>
      <c r="J466" s="2">
        <v>89.9</v>
      </c>
      <c r="K466" s="21" t="s">
        <v>97</v>
      </c>
      <c r="L466" s="21" t="s">
        <v>27</v>
      </c>
      <c r="M466" s="21" t="s">
        <v>13</v>
      </c>
      <c r="N466" s="3">
        <v>45168</v>
      </c>
      <c r="O466" s="21" t="s">
        <v>61</v>
      </c>
      <c r="P466" s="21" t="s">
        <v>48</v>
      </c>
      <c r="Q466" s="21" t="s">
        <v>62</v>
      </c>
      <c r="R466" s="2">
        <v>520</v>
      </c>
      <c r="S466" s="2">
        <v>809.1</v>
      </c>
      <c r="T466" s="2">
        <v>289.10000000000002</v>
      </c>
      <c r="U466" s="4">
        <v>35.731059201582006</v>
      </c>
      <c r="V466" s="21" t="s">
        <v>471</v>
      </c>
      <c r="W466">
        <v>1</v>
      </c>
      <c r="X466">
        <v>46</v>
      </c>
      <c r="Y466" s="20">
        <v>1</v>
      </c>
    </row>
    <row r="467" spans="1:25" x14ac:dyDescent="0.3">
      <c r="A467" s="20" t="s">
        <v>611</v>
      </c>
      <c r="B467" s="21" t="s">
        <v>17</v>
      </c>
      <c r="C467" s="21" t="s">
        <v>650</v>
      </c>
      <c r="D467" s="3">
        <v>45735</v>
      </c>
      <c r="E467" s="21" t="s">
        <v>616</v>
      </c>
      <c r="F467" s="21" t="s">
        <v>617</v>
      </c>
      <c r="G467" s="21" t="s">
        <v>65</v>
      </c>
      <c r="H467" s="2">
        <v>2</v>
      </c>
      <c r="I467" s="2">
        <v>749</v>
      </c>
      <c r="J467" s="2">
        <v>75</v>
      </c>
      <c r="K467" s="21" t="s">
        <v>97</v>
      </c>
      <c r="L467" s="21" t="s">
        <v>7</v>
      </c>
      <c r="M467" s="21" t="s">
        <v>30</v>
      </c>
      <c r="N467" s="3">
        <v>45716</v>
      </c>
      <c r="O467" s="21" t="s">
        <v>66</v>
      </c>
      <c r="P467" s="21" t="s">
        <v>44</v>
      </c>
      <c r="Q467" s="21" t="s">
        <v>67</v>
      </c>
      <c r="R467" s="2">
        <v>490</v>
      </c>
      <c r="S467" s="2">
        <v>1423</v>
      </c>
      <c r="T467" s="2">
        <v>443</v>
      </c>
      <c r="U467" s="4">
        <v>31.131412508784255</v>
      </c>
      <c r="V467" s="21" t="s">
        <v>471</v>
      </c>
      <c r="W467">
        <v>1</v>
      </c>
      <c r="X467">
        <v>9</v>
      </c>
      <c r="Y467" s="20">
        <v>1</v>
      </c>
    </row>
    <row r="468" spans="1:25" x14ac:dyDescent="0.3">
      <c r="A468" s="20" t="s">
        <v>611</v>
      </c>
      <c r="B468" s="21" t="s">
        <v>17</v>
      </c>
      <c r="C468" s="21" t="s">
        <v>651</v>
      </c>
      <c r="D468" s="3">
        <v>45735</v>
      </c>
      <c r="E468" s="21" t="s">
        <v>5</v>
      </c>
      <c r="F468" s="21" t="s">
        <v>6</v>
      </c>
      <c r="G468" s="21" t="s">
        <v>68</v>
      </c>
      <c r="H468" s="2">
        <v>1</v>
      </c>
      <c r="I468" s="2">
        <v>229</v>
      </c>
      <c r="J468" s="2">
        <v>0</v>
      </c>
      <c r="K468" s="21" t="s">
        <v>97</v>
      </c>
      <c r="L468" s="21" t="s">
        <v>7</v>
      </c>
      <c r="M468" s="21" t="s">
        <v>8</v>
      </c>
      <c r="N468" s="3">
        <v>44635</v>
      </c>
      <c r="O468" s="21" t="s">
        <v>69</v>
      </c>
      <c r="P468" s="21" t="s">
        <v>44</v>
      </c>
      <c r="Q468" s="21" t="s">
        <v>70</v>
      </c>
      <c r="R468" s="2">
        <v>110</v>
      </c>
      <c r="S468" s="2">
        <v>229</v>
      </c>
      <c r="T468" s="2">
        <v>119</v>
      </c>
      <c r="U468" s="4">
        <v>51.965065502183407</v>
      </c>
      <c r="V468" s="21" t="s">
        <v>471</v>
      </c>
      <c r="W468">
        <v>1</v>
      </c>
      <c r="X468">
        <v>52</v>
      </c>
      <c r="Y468" s="20">
        <v>1</v>
      </c>
    </row>
    <row r="469" spans="1:25" x14ac:dyDescent="0.3">
      <c r="A469" s="20" t="s">
        <v>611</v>
      </c>
      <c r="B469" s="21" t="s">
        <v>17</v>
      </c>
      <c r="C469" s="21" t="s">
        <v>652</v>
      </c>
      <c r="D469" s="3">
        <v>45736</v>
      </c>
      <c r="E469" s="21" t="s">
        <v>101</v>
      </c>
      <c r="F469" s="21" t="s">
        <v>220</v>
      </c>
      <c r="G469" s="21" t="s">
        <v>73</v>
      </c>
      <c r="H469" s="2">
        <v>5</v>
      </c>
      <c r="I469" s="2">
        <v>19</v>
      </c>
      <c r="J469" s="2">
        <v>0</v>
      </c>
      <c r="K469" s="21" t="s">
        <v>97</v>
      </c>
      <c r="L469" s="21" t="s">
        <v>265</v>
      </c>
      <c r="M469" s="21" t="s">
        <v>101</v>
      </c>
      <c r="N469" s="3"/>
      <c r="O469" s="21" t="s">
        <v>74</v>
      </c>
      <c r="P469" s="21" t="s">
        <v>52</v>
      </c>
      <c r="Q469" s="21" t="s">
        <v>62</v>
      </c>
      <c r="R469" s="2">
        <v>8</v>
      </c>
      <c r="S469" s="2">
        <v>95</v>
      </c>
      <c r="T469" s="2">
        <v>55</v>
      </c>
      <c r="U469" s="4">
        <v>57.894736842105267</v>
      </c>
      <c r="V469" s="21" t="s">
        <v>471</v>
      </c>
      <c r="W469">
        <v>1</v>
      </c>
      <c r="X469"/>
      <c r="Y469" s="20"/>
    </row>
    <row r="470" spans="1:25" x14ac:dyDescent="0.3">
      <c r="A470" s="20" t="s">
        <v>611</v>
      </c>
      <c r="B470" s="21" t="s">
        <v>17</v>
      </c>
      <c r="C470" s="21" t="s">
        <v>653</v>
      </c>
      <c r="D470" s="3">
        <v>45736</v>
      </c>
      <c r="E470" s="21" t="s">
        <v>15</v>
      </c>
      <c r="F470" s="21" t="s">
        <v>16</v>
      </c>
      <c r="G470" s="21" t="s">
        <v>71</v>
      </c>
      <c r="H470" s="2">
        <v>1</v>
      </c>
      <c r="I470" s="2">
        <v>459</v>
      </c>
      <c r="J470" s="2">
        <v>46</v>
      </c>
      <c r="K470" s="21" t="s">
        <v>97</v>
      </c>
      <c r="L470" s="21" t="s">
        <v>7</v>
      </c>
      <c r="M470" s="21" t="s">
        <v>13</v>
      </c>
      <c r="N470" s="3">
        <v>44883</v>
      </c>
      <c r="O470" s="21" t="s">
        <v>72</v>
      </c>
      <c r="P470" s="21" t="s">
        <v>48</v>
      </c>
      <c r="Q470" s="21" t="s">
        <v>49</v>
      </c>
      <c r="R470" s="2">
        <v>210</v>
      </c>
      <c r="S470" s="2">
        <v>413</v>
      </c>
      <c r="T470" s="2">
        <v>203</v>
      </c>
      <c r="U470" s="4">
        <v>49.152542372881356</v>
      </c>
      <c r="V470" s="21" t="s">
        <v>471</v>
      </c>
      <c r="W470">
        <v>1</v>
      </c>
      <c r="X470">
        <v>32</v>
      </c>
      <c r="Y470" s="20">
        <v>1</v>
      </c>
    </row>
    <row r="471" spans="1:25" x14ac:dyDescent="0.3">
      <c r="A471" s="20" t="s">
        <v>611</v>
      </c>
      <c r="B471" s="21" t="s">
        <v>17</v>
      </c>
      <c r="C471" s="21" t="s">
        <v>654</v>
      </c>
      <c r="D471" s="3">
        <v>45737</v>
      </c>
      <c r="E471" s="21" t="s">
        <v>18</v>
      </c>
      <c r="F471" s="21" t="s">
        <v>19</v>
      </c>
      <c r="G471" s="21" t="s">
        <v>75</v>
      </c>
      <c r="H471" s="2">
        <v>1</v>
      </c>
      <c r="I471" s="2">
        <v>599</v>
      </c>
      <c r="J471" s="2">
        <v>60</v>
      </c>
      <c r="K471" s="21" t="s">
        <v>97</v>
      </c>
      <c r="L471" s="21" t="s">
        <v>20</v>
      </c>
      <c r="M471" s="21" t="s">
        <v>13</v>
      </c>
      <c r="N471" s="3">
        <v>44931</v>
      </c>
      <c r="O471" s="21" t="s">
        <v>76</v>
      </c>
      <c r="P471" s="21" t="s">
        <v>44</v>
      </c>
      <c r="Q471" s="21" t="s">
        <v>59</v>
      </c>
      <c r="R471" s="2">
        <v>350</v>
      </c>
      <c r="S471" s="2">
        <v>539</v>
      </c>
      <c r="T471" s="2">
        <v>189</v>
      </c>
      <c r="U471" s="4">
        <v>35.064935064935064</v>
      </c>
      <c r="V471" s="21" t="s">
        <v>471</v>
      </c>
      <c r="W471">
        <v>1</v>
      </c>
      <c r="X471">
        <v>35</v>
      </c>
      <c r="Y471" s="20">
        <v>1</v>
      </c>
    </row>
    <row r="472" spans="1:25" x14ac:dyDescent="0.3">
      <c r="A472" s="20" t="s">
        <v>611</v>
      </c>
      <c r="B472" s="21" t="s">
        <v>17</v>
      </c>
      <c r="C472" s="21" t="s">
        <v>655</v>
      </c>
      <c r="D472" s="3">
        <v>45737</v>
      </c>
      <c r="E472" s="21" t="s">
        <v>35</v>
      </c>
      <c r="F472" s="21" t="s">
        <v>36</v>
      </c>
      <c r="G472" s="21" t="s">
        <v>79</v>
      </c>
      <c r="H472" s="2">
        <v>1</v>
      </c>
      <c r="I472" s="2">
        <v>189</v>
      </c>
      <c r="J472" s="2">
        <v>19</v>
      </c>
      <c r="K472" s="21" t="s">
        <v>97</v>
      </c>
      <c r="L472" s="21" t="s">
        <v>7</v>
      </c>
      <c r="M472" s="21" t="s">
        <v>30</v>
      </c>
      <c r="N472" s="3">
        <v>45665</v>
      </c>
      <c r="O472" s="21" t="s">
        <v>80</v>
      </c>
      <c r="P472" s="21" t="s">
        <v>44</v>
      </c>
      <c r="Q472" s="21" t="s">
        <v>70</v>
      </c>
      <c r="R472" s="2">
        <v>95</v>
      </c>
      <c r="S472" s="2">
        <v>170</v>
      </c>
      <c r="T472" s="2">
        <v>75</v>
      </c>
      <c r="U472" s="4">
        <v>44.117647058823529</v>
      </c>
      <c r="V472" s="21" t="s">
        <v>471</v>
      </c>
      <c r="W472">
        <v>1</v>
      </c>
      <c r="X472">
        <v>20</v>
      </c>
      <c r="Y472" s="20">
        <v>1</v>
      </c>
    </row>
    <row r="473" spans="1:25" x14ac:dyDescent="0.3">
      <c r="A473" s="20" t="s">
        <v>611</v>
      </c>
      <c r="B473" s="21" t="s">
        <v>17</v>
      </c>
      <c r="C473" s="21" t="s">
        <v>656</v>
      </c>
      <c r="D473" s="3">
        <v>45738</v>
      </c>
      <c r="E473" s="21" t="s">
        <v>101</v>
      </c>
      <c r="F473" s="21" t="s">
        <v>220</v>
      </c>
      <c r="G473" s="21" t="s">
        <v>81</v>
      </c>
      <c r="H473" s="2">
        <v>2</v>
      </c>
      <c r="I473" s="2">
        <v>89</v>
      </c>
      <c r="J473" s="2">
        <v>0</v>
      </c>
      <c r="K473" s="21" t="s">
        <v>97</v>
      </c>
      <c r="L473" s="21" t="s">
        <v>265</v>
      </c>
      <c r="M473" s="21" t="s">
        <v>101</v>
      </c>
      <c r="N473" s="3"/>
      <c r="O473" s="21" t="s">
        <v>82</v>
      </c>
      <c r="P473" s="21" t="s">
        <v>52</v>
      </c>
      <c r="Q473" s="21" t="s">
        <v>83</v>
      </c>
      <c r="R473" s="2">
        <v>42</v>
      </c>
      <c r="S473" s="2">
        <v>178</v>
      </c>
      <c r="T473" s="2">
        <v>94</v>
      </c>
      <c r="U473" s="4">
        <v>52.80898876404494</v>
      </c>
      <c r="V473" s="21" t="s">
        <v>471</v>
      </c>
      <c r="W473">
        <v>1</v>
      </c>
      <c r="X473"/>
      <c r="Y473" s="20"/>
    </row>
    <row r="474" spans="1:25" x14ac:dyDescent="0.3">
      <c r="A474" s="20" t="s">
        <v>611</v>
      </c>
      <c r="B474" s="21" t="s">
        <v>17</v>
      </c>
      <c r="C474" s="21" t="s">
        <v>657</v>
      </c>
      <c r="D474" s="3">
        <v>45739</v>
      </c>
      <c r="E474" s="21" t="s">
        <v>616</v>
      </c>
      <c r="F474" s="21" t="s">
        <v>617</v>
      </c>
      <c r="G474" s="21" t="s">
        <v>77</v>
      </c>
      <c r="H474" s="2">
        <v>1</v>
      </c>
      <c r="I474" s="2">
        <v>1099</v>
      </c>
      <c r="J474" s="2">
        <v>110</v>
      </c>
      <c r="K474" s="21" t="s">
        <v>97</v>
      </c>
      <c r="L474" s="21" t="s">
        <v>7</v>
      </c>
      <c r="M474" s="21" t="s">
        <v>30</v>
      </c>
      <c r="N474" s="3">
        <v>45716</v>
      </c>
      <c r="O474" s="21" t="s">
        <v>78</v>
      </c>
      <c r="P474" s="21" t="s">
        <v>48</v>
      </c>
      <c r="Q474" s="21" t="s">
        <v>62</v>
      </c>
      <c r="R474" s="2">
        <v>650</v>
      </c>
      <c r="S474" s="2">
        <v>989</v>
      </c>
      <c r="T474" s="2">
        <v>339</v>
      </c>
      <c r="U474" s="4">
        <v>34.277047522750252</v>
      </c>
      <c r="V474" s="21" t="s">
        <v>471</v>
      </c>
      <c r="W474">
        <v>1</v>
      </c>
      <c r="X474">
        <v>9</v>
      </c>
      <c r="Y474" s="20">
        <v>1</v>
      </c>
    </row>
    <row r="475" spans="1:25" x14ac:dyDescent="0.3">
      <c r="A475" s="20" t="s">
        <v>611</v>
      </c>
      <c r="B475" s="21" t="s">
        <v>17</v>
      </c>
      <c r="C475" s="21" t="s">
        <v>658</v>
      </c>
      <c r="D475" s="3">
        <v>45739</v>
      </c>
      <c r="E475" s="21" t="s">
        <v>5</v>
      </c>
      <c r="F475" s="21" t="s">
        <v>6</v>
      </c>
      <c r="G475" s="21" t="s">
        <v>42</v>
      </c>
      <c r="H475" s="2">
        <v>2</v>
      </c>
      <c r="I475" s="2">
        <v>349</v>
      </c>
      <c r="J475" s="2">
        <v>34.9</v>
      </c>
      <c r="K475" s="21" t="s">
        <v>97</v>
      </c>
      <c r="L475" s="21" t="s">
        <v>7</v>
      </c>
      <c r="M475" s="21" t="s">
        <v>8</v>
      </c>
      <c r="N475" s="3">
        <v>44635</v>
      </c>
      <c r="O475" s="21" t="s">
        <v>43</v>
      </c>
      <c r="P475" s="21" t="s">
        <v>44</v>
      </c>
      <c r="Q475" s="21" t="s">
        <v>45</v>
      </c>
      <c r="R475" s="2">
        <v>165</v>
      </c>
      <c r="S475" s="2">
        <v>663.1</v>
      </c>
      <c r="T475" s="2">
        <v>333.1</v>
      </c>
      <c r="U475" s="4">
        <v>50.233750565525561</v>
      </c>
      <c r="V475" s="21" t="s">
        <v>471</v>
      </c>
      <c r="W475">
        <v>1</v>
      </c>
      <c r="X475">
        <v>52</v>
      </c>
      <c r="Y475" s="20">
        <v>1</v>
      </c>
    </row>
    <row r="476" spans="1:25" x14ac:dyDescent="0.3">
      <c r="A476" s="20" t="s">
        <v>611</v>
      </c>
      <c r="B476" s="21" t="s">
        <v>17</v>
      </c>
      <c r="C476" s="21" t="s">
        <v>659</v>
      </c>
      <c r="D476" s="3">
        <v>45740</v>
      </c>
      <c r="E476" s="21" t="s">
        <v>101</v>
      </c>
      <c r="F476" s="21" t="s">
        <v>220</v>
      </c>
      <c r="G476" s="21" t="s">
        <v>50</v>
      </c>
      <c r="H476" s="2">
        <v>3</v>
      </c>
      <c r="I476" s="2">
        <v>45</v>
      </c>
      <c r="J476" s="2">
        <v>0</v>
      </c>
      <c r="K476" s="21" t="s">
        <v>97</v>
      </c>
      <c r="L476" s="21" t="s">
        <v>265</v>
      </c>
      <c r="M476" s="21" t="s">
        <v>101</v>
      </c>
      <c r="N476" s="3"/>
      <c r="O476" s="21" t="s">
        <v>51</v>
      </c>
      <c r="P476" s="21" t="s">
        <v>52</v>
      </c>
      <c r="Q476" s="21" t="s">
        <v>53</v>
      </c>
      <c r="R476" s="2">
        <v>18</v>
      </c>
      <c r="S476" s="2">
        <v>135</v>
      </c>
      <c r="T476" s="2">
        <v>81</v>
      </c>
      <c r="U476" s="4">
        <v>60</v>
      </c>
      <c r="V476" s="21" t="s">
        <v>471</v>
      </c>
      <c r="W476">
        <v>1</v>
      </c>
      <c r="X476"/>
      <c r="Y476" s="20"/>
    </row>
    <row r="477" spans="1:25" x14ac:dyDescent="0.3">
      <c r="A477" s="20" t="s">
        <v>611</v>
      </c>
      <c r="B477" s="21" t="s">
        <v>17</v>
      </c>
      <c r="C477" s="21" t="s">
        <v>660</v>
      </c>
      <c r="D477" s="3">
        <v>45740</v>
      </c>
      <c r="E477" s="21" t="s">
        <v>15</v>
      </c>
      <c r="F477" s="21" t="s">
        <v>16</v>
      </c>
      <c r="G477" s="21" t="s">
        <v>54</v>
      </c>
      <c r="H477" s="2">
        <v>1</v>
      </c>
      <c r="I477" s="2">
        <v>1299</v>
      </c>
      <c r="J477" s="2">
        <v>130</v>
      </c>
      <c r="K477" s="21" t="s">
        <v>97</v>
      </c>
      <c r="L477" s="21" t="s">
        <v>7</v>
      </c>
      <c r="M477" s="21" t="s">
        <v>13</v>
      </c>
      <c r="N477" s="3">
        <v>44883</v>
      </c>
      <c r="O477" s="21" t="s">
        <v>55</v>
      </c>
      <c r="P477" s="21" t="s">
        <v>44</v>
      </c>
      <c r="Q477" s="21" t="s">
        <v>56</v>
      </c>
      <c r="R477" s="2">
        <v>820</v>
      </c>
      <c r="S477" s="2">
        <v>1169</v>
      </c>
      <c r="T477" s="2">
        <v>349</v>
      </c>
      <c r="U477" s="4">
        <v>29.854576561163388</v>
      </c>
      <c r="V477" s="21" t="s">
        <v>471</v>
      </c>
      <c r="W477">
        <v>1</v>
      </c>
      <c r="X477">
        <v>32</v>
      </c>
      <c r="Y477" s="20">
        <v>1</v>
      </c>
    </row>
    <row r="478" spans="1:25" x14ac:dyDescent="0.3">
      <c r="A478" s="20" t="s">
        <v>611</v>
      </c>
      <c r="B478" s="21" t="s">
        <v>17</v>
      </c>
      <c r="C478" s="21" t="s">
        <v>661</v>
      </c>
      <c r="D478" s="3">
        <v>45741</v>
      </c>
      <c r="E478" s="21" t="s">
        <v>18</v>
      </c>
      <c r="F478" s="21" t="s">
        <v>19</v>
      </c>
      <c r="G478" s="21" t="s">
        <v>60</v>
      </c>
      <c r="H478" s="2">
        <v>1</v>
      </c>
      <c r="I478" s="2">
        <v>899</v>
      </c>
      <c r="J478" s="2">
        <v>0</v>
      </c>
      <c r="K478" s="21" t="s">
        <v>97</v>
      </c>
      <c r="L478" s="21" t="s">
        <v>20</v>
      </c>
      <c r="M478" s="21" t="s">
        <v>13</v>
      </c>
      <c r="N478" s="3">
        <v>44931</v>
      </c>
      <c r="O478" s="21" t="s">
        <v>61</v>
      </c>
      <c r="P478" s="21" t="s">
        <v>48</v>
      </c>
      <c r="Q478" s="21" t="s">
        <v>62</v>
      </c>
      <c r="R478" s="2">
        <v>520</v>
      </c>
      <c r="S478" s="2">
        <v>899</v>
      </c>
      <c r="T478" s="2">
        <v>379</v>
      </c>
      <c r="U478" s="4">
        <v>42.157953281423808</v>
      </c>
      <c r="V478" s="21" t="s">
        <v>471</v>
      </c>
      <c r="W478">
        <v>1</v>
      </c>
      <c r="X478">
        <v>35</v>
      </c>
      <c r="Y478" s="20">
        <v>1</v>
      </c>
    </row>
    <row r="479" spans="1:25" x14ac:dyDescent="0.3">
      <c r="A479" s="20" t="s">
        <v>611</v>
      </c>
      <c r="B479" s="21" t="s">
        <v>17</v>
      </c>
      <c r="C479" s="21" t="s">
        <v>662</v>
      </c>
      <c r="D479" s="3">
        <v>45741</v>
      </c>
      <c r="E479" s="21" t="s">
        <v>35</v>
      </c>
      <c r="F479" s="21" t="s">
        <v>36</v>
      </c>
      <c r="G479" s="21" t="s">
        <v>57</v>
      </c>
      <c r="H479" s="2">
        <v>2</v>
      </c>
      <c r="I479" s="2">
        <v>529</v>
      </c>
      <c r="J479" s="2">
        <v>53</v>
      </c>
      <c r="K479" s="21" t="s">
        <v>97</v>
      </c>
      <c r="L479" s="21" t="s">
        <v>7</v>
      </c>
      <c r="M479" s="21" t="s">
        <v>30</v>
      </c>
      <c r="N479" s="3">
        <v>45665</v>
      </c>
      <c r="O479" s="21" t="s">
        <v>58</v>
      </c>
      <c r="P479" s="21" t="s">
        <v>44</v>
      </c>
      <c r="Q479" s="21" t="s">
        <v>59</v>
      </c>
      <c r="R479" s="2">
        <v>260</v>
      </c>
      <c r="S479" s="2">
        <v>1005</v>
      </c>
      <c r="T479" s="2">
        <v>485</v>
      </c>
      <c r="U479" s="4">
        <v>48.258706467661696</v>
      </c>
      <c r="V479" s="21" t="s">
        <v>471</v>
      </c>
      <c r="W479">
        <v>1</v>
      </c>
      <c r="X479">
        <v>20</v>
      </c>
      <c r="Y479" s="20">
        <v>1</v>
      </c>
    </row>
    <row r="480" spans="1:25" x14ac:dyDescent="0.3">
      <c r="A480" s="20" t="s">
        <v>611</v>
      </c>
      <c r="B480" s="21" t="s">
        <v>17</v>
      </c>
      <c r="C480" s="21" t="s">
        <v>663</v>
      </c>
      <c r="D480" s="3">
        <v>45742</v>
      </c>
      <c r="E480" s="21" t="s">
        <v>101</v>
      </c>
      <c r="F480" s="21" t="s">
        <v>220</v>
      </c>
      <c r="G480" s="21" t="s">
        <v>63</v>
      </c>
      <c r="H480" s="2">
        <v>3</v>
      </c>
      <c r="I480" s="2">
        <v>29</v>
      </c>
      <c r="J480" s="2">
        <v>0</v>
      </c>
      <c r="K480" s="21" t="s">
        <v>97</v>
      </c>
      <c r="L480" s="21" t="s">
        <v>265</v>
      </c>
      <c r="M480" s="21" t="s">
        <v>101</v>
      </c>
      <c r="N480" s="3"/>
      <c r="O480" s="21" t="s">
        <v>64</v>
      </c>
      <c r="P480" s="21" t="s">
        <v>52</v>
      </c>
      <c r="Q480" s="21" t="s">
        <v>62</v>
      </c>
      <c r="R480" s="2">
        <v>11</v>
      </c>
      <c r="S480" s="2">
        <v>87</v>
      </c>
      <c r="T480" s="2">
        <v>54</v>
      </c>
      <c r="U480" s="4">
        <v>62.068965517241381</v>
      </c>
      <c r="V480" s="21" t="s">
        <v>471</v>
      </c>
      <c r="W480">
        <v>1</v>
      </c>
      <c r="X480"/>
      <c r="Y480" s="20"/>
    </row>
    <row r="481" spans="1:25" x14ac:dyDescent="0.3">
      <c r="A481" s="20" t="s">
        <v>611</v>
      </c>
      <c r="B481" s="21" t="s">
        <v>17</v>
      </c>
      <c r="C481" s="21" t="s">
        <v>664</v>
      </c>
      <c r="D481" s="3">
        <v>45742</v>
      </c>
      <c r="E481" s="21" t="s">
        <v>25</v>
      </c>
      <c r="F481" s="21" t="s">
        <v>26</v>
      </c>
      <c r="G481" s="21" t="s">
        <v>65</v>
      </c>
      <c r="H481" s="2">
        <v>1</v>
      </c>
      <c r="I481" s="2">
        <v>749</v>
      </c>
      <c r="J481" s="2">
        <v>74.900000000000006</v>
      </c>
      <c r="K481" s="21" t="s">
        <v>97</v>
      </c>
      <c r="L481" s="21" t="s">
        <v>27</v>
      </c>
      <c r="M481" s="21" t="s">
        <v>13</v>
      </c>
      <c r="N481" s="3">
        <v>45168</v>
      </c>
      <c r="O481" s="21" t="s">
        <v>66</v>
      </c>
      <c r="P481" s="21" t="s">
        <v>44</v>
      </c>
      <c r="Q481" s="21" t="s">
        <v>67</v>
      </c>
      <c r="R481" s="2">
        <v>490</v>
      </c>
      <c r="S481" s="2">
        <v>674.1</v>
      </c>
      <c r="T481" s="2">
        <v>184.10000000000002</v>
      </c>
      <c r="U481" s="4">
        <v>27.310488058151609</v>
      </c>
      <c r="V481" s="21" t="s">
        <v>471</v>
      </c>
      <c r="W481">
        <v>1</v>
      </c>
      <c r="X481">
        <v>46</v>
      </c>
      <c r="Y481" s="20">
        <v>1</v>
      </c>
    </row>
    <row r="482" spans="1:25" x14ac:dyDescent="0.3">
      <c r="A482" s="20" t="s">
        <v>611</v>
      </c>
      <c r="B482" s="21" t="s">
        <v>17</v>
      </c>
      <c r="C482" s="21" t="s">
        <v>665</v>
      </c>
      <c r="D482" s="3">
        <v>45743</v>
      </c>
      <c r="E482" s="21" t="s">
        <v>616</v>
      </c>
      <c r="F482" s="21" t="s">
        <v>617</v>
      </c>
      <c r="G482" s="21" t="s">
        <v>68</v>
      </c>
      <c r="H482" s="2">
        <v>1</v>
      </c>
      <c r="I482" s="2">
        <v>229</v>
      </c>
      <c r="J482" s="2">
        <v>22.9</v>
      </c>
      <c r="K482" s="21" t="s">
        <v>97</v>
      </c>
      <c r="L482" s="21" t="s">
        <v>7</v>
      </c>
      <c r="M482" s="21" t="s">
        <v>30</v>
      </c>
      <c r="N482" s="3">
        <v>45716</v>
      </c>
      <c r="O482" s="21" t="s">
        <v>69</v>
      </c>
      <c r="P482" s="21" t="s">
        <v>44</v>
      </c>
      <c r="Q482" s="21" t="s">
        <v>70</v>
      </c>
      <c r="R482" s="2">
        <v>110</v>
      </c>
      <c r="S482" s="2">
        <v>206.1</v>
      </c>
      <c r="T482" s="2">
        <v>96.1</v>
      </c>
      <c r="U482" s="4">
        <v>46.62785055798156</v>
      </c>
      <c r="V482" s="21" t="s">
        <v>471</v>
      </c>
      <c r="W482">
        <v>1</v>
      </c>
      <c r="X482">
        <v>9</v>
      </c>
      <c r="Y482" s="20">
        <v>1</v>
      </c>
    </row>
    <row r="483" spans="1:25" x14ac:dyDescent="0.3">
      <c r="A483" s="20" t="s">
        <v>611</v>
      </c>
      <c r="B483" s="21" t="s">
        <v>17</v>
      </c>
      <c r="C483" s="21" t="s">
        <v>666</v>
      </c>
      <c r="D483" s="3">
        <v>45743</v>
      </c>
      <c r="E483" s="21" t="s">
        <v>5</v>
      </c>
      <c r="F483" s="21" t="s">
        <v>6</v>
      </c>
      <c r="G483" s="21" t="s">
        <v>46</v>
      </c>
      <c r="H483" s="2">
        <v>3</v>
      </c>
      <c r="I483" s="2">
        <v>199</v>
      </c>
      <c r="J483" s="2">
        <v>30</v>
      </c>
      <c r="K483" s="21" t="s">
        <v>97</v>
      </c>
      <c r="L483" s="21" t="s">
        <v>7</v>
      </c>
      <c r="M483" s="21" t="s">
        <v>8</v>
      </c>
      <c r="N483" s="3">
        <v>44635</v>
      </c>
      <c r="O483" s="21" t="s">
        <v>47</v>
      </c>
      <c r="P483" s="21" t="s">
        <v>48</v>
      </c>
      <c r="Q483" s="21" t="s">
        <v>49</v>
      </c>
      <c r="R483" s="2">
        <v>95</v>
      </c>
      <c r="S483" s="2">
        <v>567</v>
      </c>
      <c r="T483" s="2">
        <v>282</v>
      </c>
      <c r="U483" s="4">
        <v>49.735449735449734</v>
      </c>
      <c r="V483" s="21" t="s">
        <v>471</v>
      </c>
      <c r="W483">
        <v>1</v>
      </c>
      <c r="X483">
        <v>52</v>
      </c>
      <c r="Y483" s="20">
        <v>1</v>
      </c>
    </row>
    <row r="484" spans="1:25" x14ac:dyDescent="0.3">
      <c r="A484" s="20" t="s">
        <v>611</v>
      </c>
      <c r="B484" s="21" t="s">
        <v>17</v>
      </c>
      <c r="C484" s="21" t="s">
        <v>667</v>
      </c>
      <c r="D484" s="3">
        <v>45744</v>
      </c>
      <c r="E484" s="21" t="s">
        <v>101</v>
      </c>
      <c r="F484" s="21" t="s">
        <v>220</v>
      </c>
      <c r="G484" s="21" t="s">
        <v>73</v>
      </c>
      <c r="H484" s="2">
        <v>4</v>
      </c>
      <c r="I484" s="2">
        <v>19</v>
      </c>
      <c r="J484" s="2">
        <v>0</v>
      </c>
      <c r="K484" s="21" t="s">
        <v>97</v>
      </c>
      <c r="L484" s="21" t="s">
        <v>265</v>
      </c>
      <c r="M484" s="21" t="s">
        <v>101</v>
      </c>
      <c r="N484" s="3"/>
      <c r="O484" s="21" t="s">
        <v>74</v>
      </c>
      <c r="P484" s="21" t="s">
        <v>52</v>
      </c>
      <c r="Q484" s="21" t="s">
        <v>62</v>
      </c>
      <c r="R484" s="2">
        <v>8</v>
      </c>
      <c r="S484" s="2">
        <v>76</v>
      </c>
      <c r="T484" s="2">
        <v>44</v>
      </c>
      <c r="U484" s="4">
        <v>57.894736842105267</v>
      </c>
      <c r="V484" s="21" t="s">
        <v>471</v>
      </c>
      <c r="W484">
        <v>1</v>
      </c>
      <c r="X484"/>
      <c r="Y484" s="20"/>
    </row>
    <row r="485" spans="1:25" x14ac:dyDescent="0.3">
      <c r="A485" s="20" t="s">
        <v>611</v>
      </c>
      <c r="B485" s="21" t="s">
        <v>17</v>
      </c>
      <c r="C485" s="21" t="s">
        <v>668</v>
      </c>
      <c r="D485" s="3">
        <v>45744</v>
      </c>
      <c r="E485" s="21" t="s">
        <v>15</v>
      </c>
      <c r="F485" s="21" t="s">
        <v>16</v>
      </c>
      <c r="G485" s="21" t="s">
        <v>75</v>
      </c>
      <c r="H485" s="2">
        <v>1</v>
      </c>
      <c r="I485" s="2">
        <v>599</v>
      </c>
      <c r="J485" s="2">
        <v>59.9</v>
      </c>
      <c r="K485" s="21" t="s">
        <v>97</v>
      </c>
      <c r="L485" s="21" t="s">
        <v>7</v>
      </c>
      <c r="M485" s="21" t="s">
        <v>13</v>
      </c>
      <c r="N485" s="3">
        <v>44883</v>
      </c>
      <c r="O485" s="21" t="s">
        <v>76</v>
      </c>
      <c r="P485" s="21" t="s">
        <v>44</v>
      </c>
      <c r="Q485" s="21" t="s">
        <v>59</v>
      </c>
      <c r="R485" s="2">
        <v>350</v>
      </c>
      <c r="S485" s="2">
        <v>539.1</v>
      </c>
      <c r="T485" s="2">
        <v>189.10000000000002</v>
      </c>
      <c r="U485" s="4">
        <v>35.076980152105364</v>
      </c>
      <c r="V485" s="21" t="s">
        <v>471</v>
      </c>
      <c r="W485">
        <v>1</v>
      </c>
      <c r="X485">
        <v>32</v>
      </c>
      <c r="Y485" s="20">
        <v>1</v>
      </c>
    </row>
    <row r="486" spans="1:25" x14ac:dyDescent="0.3">
      <c r="A486" s="20" t="s">
        <v>611</v>
      </c>
      <c r="B486" s="21" t="s">
        <v>17</v>
      </c>
      <c r="C486" s="21" t="s">
        <v>669</v>
      </c>
      <c r="D486" s="3">
        <v>45745</v>
      </c>
      <c r="E486" s="21" t="s">
        <v>18</v>
      </c>
      <c r="F486" s="21" t="s">
        <v>19</v>
      </c>
      <c r="G486" s="21" t="s">
        <v>84</v>
      </c>
      <c r="H486" s="2">
        <v>1</v>
      </c>
      <c r="I486" s="2">
        <v>2199</v>
      </c>
      <c r="J486" s="2">
        <v>220</v>
      </c>
      <c r="K486" s="21" t="s">
        <v>97</v>
      </c>
      <c r="L486" s="21" t="s">
        <v>20</v>
      </c>
      <c r="M486" s="21" t="s">
        <v>13</v>
      </c>
      <c r="N486" s="3">
        <v>44931</v>
      </c>
      <c r="O486" s="21" t="s">
        <v>85</v>
      </c>
      <c r="P486" s="21" t="s">
        <v>44</v>
      </c>
      <c r="Q486" s="21" t="s">
        <v>56</v>
      </c>
      <c r="R486" s="2">
        <v>1380</v>
      </c>
      <c r="S486" s="2">
        <v>1979</v>
      </c>
      <c r="T486" s="2">
        <v>599</v>
      </c>
      <c r="U486" s="4">
        <v>30.267812026275898</v>
      </c>
      <c r="V486" s="21" t="s">
        <v>471</v>
      </c>
      <c r="W486">
        <v>1</v>
      </c>
      <c r="X486">
        <v>35</v>
      </c>
      <c r="Y486" s="20">
        <v>1</v>
      </c>
    </row>
    <row r="487" spans="1:25" x14ac:dyDescent="0.3">
      <c r="A487" s="20" t="s">
        <v>611</v>
      </c>
      <c r="B487" s="21" t="s">
        <v>17</v>
      </c>
      <c r="C487" s="21" t="s">
        <v>670</v>
      </c>
      <c r="D487" s="3">
        <v>45745</v>
      </c>
      <c r="E487" s="21" t="s">
        <v>35</v>
      </c>
      <c r="F487" s="21" t="s">
        <v>36</v>
      </c>
      <c r="G487" s="21" t="s">
        <v>71</v>
      </c>
      <c r="H487" s="2">
        <v>1</v>
      </c>
      <c r="I487" s="2">
        <v>459</v>
      </c>
      <c r="J487" s="2">
        <v>46</v>
      </c>
      <c r="K487" s="21" t="s">
        <v>97</v>
      </c>
      <c r="L487" s="21" t="s">
        <v>7</v>
      </c>
      <c r="M487" s="21" t="s">
        <v>30</v>
      </c>
      <c r="N487" s="3">
        <v>45665</v>
      </c>
      <c r="O487" s="21" t="s">
        <v>72</v>
      </c>
      <c r="P487" s="21" t="s">
        <v>48</v>
      </c>
      <c r="Q487" s="21" t="s">
        <v>49</v>
      </c>
      <c r="R487" s="2">
        <v>210</v>
      </c>
      <c r="S487" s="2">
        <v>413</v>
      </c>
      <c r="T487" s="2">
        <v>203</v>
      </c>
      <c r="U487" s="4">
        <v>49.152542372881356</v>
      </c>
      <c r="V487" s="21" t="s">
        <v>471</v>
      </c>
      <c r="W487">
        <v>1</v>
      </c>
      <c r="X487">
        <v>20</v>
      </c>
      <c r="Y487" s="20">
        <v>1</v>
      </c>
    </row>
    <row r="488" spans="1:25" x14ac:dyDescent="0.3">
      <c r="A488" s="20" t="s">
        <v>611</v>
      </c>
      <c r="B488" s="21" t="s">
        <v>17</v>
      </c>
      <c r="C488" s="21" t="s">
        <v>671</v>
      </c>
      <c r="D488" s="3">
        <v>45746</v>
      </c>
      <c r="E488" s="21" t="s">
        <v>101</v>
      </c>
      <c r="F488" s="21" t="s">
        <v>220</v>
      </c>
      <c r="G488" s="21" t="s">
        <v>81</v>
      </c>
      <c r="H488" s="2">
        <v>2</v>
      </c>
      <c r="I488" s="2">
        <v>89</v>
      </c>
      <c r="J488" s="2">
        <v>8.9</v>
      </c>
      <c r="K488" s="21" t="s">
        <v>97</v>
      </c>
      <c r="L488" s="21" t="s">
        <v>265</v>
      </c>
      <c r="M488" s="21" t="s">
        <v>101</v>
      </c>
      <c r="N488" s="3"/>
      <c r="O488" s="21" t="s">
        <v>82</v>
      </c>
      <c r="P488" s="21" t="s">
        <v>52</v>
      </c>
      <c r="Q488" s="21" t="s">
        <v>83</v>
      </c>
      <c r="R488" s="2">
        <v>42</v>
      </c>
      <c r="S488" s="2">
        <v>169.1</v>
      </c>
      <c r="T488" s="2">
        <v>85.1</v>
      </c>
      <c r="U488" s="4">
        <v>50.325251330573629</v>
      </c>
      <c r="V488" s="21" t="s">
        <v>471</v>
      </c>
      <c r="W488">
        <v>1</v>
      </c>
      <c r="X488"/>
      <c r="Y488" s="20"/>
    </row>
    <row r="489" spans="1:25" x14ac:dyDescent="0.3">
      <c r="A489" s="20" t="s">
        <v>611</v>
      </c>
      <c r="B489" s="21" t="s">
        <v>17</v>
      </c>
      <c r="C489" s="21" t="s">
        <v>672</v>
      </c>
      <c r="D489" s="3">
        <v>45746</v>
      </c>
      <c r="E489" s="21" t="s">
        <v>25</v>
      </c>
      <c r="F489" s="21" t="s">
        <v>26</v>
      </c>
      <c r="G489" s="21" t="s">
        <v>79</v>
      </c>
      <c r="H489" s="2">
        <v>1</v>
      </c>
      <c r="I489" s="2">
        <v>189</v>
      </c>
      <c r="J489" s="2">
        <v>19</v>
      </c>
      <c r="K489" s="21" t="s">
        <v>97</v>
      </c>
      <c r="L489" s="21" t="s">
        <v>27</v>
      </c>
      <c r="M489" s="21" t="s">
        <v>13</v>
      </c>
      <c r="N489" s="3">
        <v>45168</v>
      </c>
      <c r="O489" s="21" t="s">
        <v>80</v>
      </c>
      <c r="P489" s="21" t="s">
        <v>44</v>
      </c>
      <c r="Q489" s="21" t="s">
        <v>70</v>
      </c>
      <c r="R489" s="2">
        <v>95</v>
      </c>
      <c r="S489" s="2">
        <v>170</v>
      </c>
      <c r="T489" s="2">
        <v>75</v>
      </c>
      <c r="U489" s="4">
        <v>44.117647058823529</v>
      </c>
      <c r="V489" s="21" t="s">
        <v>471</v>
      </c>
      <c r="W489">
        <v>1</v>
      </c>
      <c r="X489">
        <v>46</v>
      </c>
      <c r="Y489" s="20">
        <v>1</v>
      </c>
    </row>
    <row r="490" spans="1:25" x14ac:dyDescent="0.3">
      <c r="A490" s="20" t="s">
        <v>611</v>
      </c>
      <c r="B490" s="21" t="s">
        <v>17</v>
      </c>
      <c r="C490" s="21" t="s">
        <v>673</v>
      </c>
      <c r="D490" s="3">
        <v>45747</v>
      </c>
      <c r="E490" s="21" t="s">
        <v>616</v>
      </c>
      <c r="F490" s="21" t="s">
        <v>617</v>
      </c>
      <c r="G490" s="21" t="s">
        <v>54</v>
      </c>
      <c r="H490" s="2">
        <v>1</v>
      </c>
      <c r="I490" s="2">
        <v>1299</v>
      </c>
      <c r="J490" s="2">
        <v>130</v>
      </c>
      <c r="K490" s="21" t="s">
        <v>97</v>
      </c>
      <c r="L490" s="21" t="s">
        <v>7</v>
      </c>
      <c r="M490" s="21" t="s">
        <v>30</v>
      </c>
      <c r="N490" s="3">
        <v>45716</v>
      </c>
      <c r="O490" s="21" t="s">
        <v>55</v>
      </c>
      <c r="P490" s="21" t="s">
        <v>44</v>
      </c>
      <c r="Q490" s="21" t="s">
        <v>56</v>
      </c>
      <c r="R490" s="2">
        <v>820</v>
      </c>
      <c r="S490" s="2">
        <v>1169</v>
      </c>
      <c r="T490" s="2">
        <v>349</v>
      </c>
      <c r="U490" s="4">
        <v>29.854576561163388</v>
      </c>
      <c r="V490" s="21" t="s">
        <v>471</v>
      </c>
      <c r="W490">
        <v>1</v>
      </c>
      <c r="X490">
        <v>9</v>
      </c>
      <c r="Y490" s="20">
        <v>1</v>
      </c>
    </row>
    <row r="491" spans="1:25" x14ac:dyDescent="0.3">
      <c r="A491" s="20" t="s">
        <v>611</v>
      </c>
      <c r="B491" s="21" t="s">
        <v>17</v>
      </c>
      <c r="C491" s="21" t="s">
        <v>674</v>
      </c>
      <c r="D491" s="3">
        <v>45747</v>
      </c>
      <c r="E491" s="21" t="s">
        <v>5</v>
      </c>
      <c r="F491" s="21" t="s">
        <v>6</v>
      </c>
      <c r="G491" s="21" t="s">
        <v>50</v>
      </c>
      <c r="H491" s="2">
        <v>3</v>
      </c>
      <c r="I491" s="2">
        <v>45</v>
      </c>
      <c r="J491" s="2">
        <v>0</v>
      </c>
      <c r="K491" s="21" t="s">
        <v>97</v>
      </c>
      <c r="L491" s="21" t="s">
        <v>7</v>
      </c>
      <c r="M491" s="21" t="s">
        <v>8</v>
      </c>
      <c r="N491" s="3">
        <v>44635</v>
      </c>
      <c r="O491" s="21" t="s">
        <v>51</v>
      </c>
      <c r="P491" s="21" t="s">
        <v>52</v>
      </c>
      <c r="Q491" s="21" t="s">
        <v>53</v>
      </c>
      <c r="R491" s="2">
        <v>18</v>
      </c>
      <c r="S491" s="2">
        <v>135</v>
      </c>
      <c r="T491" s="2">
        <v>81</v>
      </c>
      <c r="U491" s="4">
        <v>60</v>
      </c>
      <c r="V491" s="21" t="s">
        <v>471</v>
      </c>
      <c r="W491">
        <v>1</v>
      </c>
      <c r="X491">
        <v>52</v>
      </c>
      <c r="Y491" s="20">
        <v>1</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B68D33-C0ED-4FBA-AF26-01A2C1E24D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qry_enriched_data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Jetfire Asus A15</dc:creator>
  <cp:lastModifiedBy>Jetfire Asus A15</cp:lastModifiedBy>
  <dcterms:created xsi:type="dcterms:W3CDTF">2026-03-03T19:18:48Z</dcterms:created>
  <dcterms:modified xsi:type="dcterms:W3CDTF">2026-03-05T16:45:51Z</dcterms:modified>
</cp:coreProperties>
</file>